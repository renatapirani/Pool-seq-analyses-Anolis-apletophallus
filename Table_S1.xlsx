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enatapirani/Documents/Artigos Pirani, R. M/(WORKING) Pool-seq data and dewlap A. apletophallus/Submission/"/>
    </mc:Choice>
  </mc:AlternateContent>
  <xr:revisionPtr revIDLastSave="0" documentId="13_ncr:1_{1ECEFA55-644D-EB46-83C4-70D28E7EC104}" xr6:coauthVersionLast="47" xr6:coauthVersionMax="47" xr10:uidLastSave="{00000000-0000-0000-0000-000000000000}"/>
  <bookViews>
    <workbookView xWindow="-38080" yWindow="-520" windowWidth="32020" windowHeight="20440" xr2:uid="{00000000-000D-0000-FFFF-FFFF00000000}"/>
  </bookViews>
  <sheets>
    <sheet name="Table_S1" sheetId="2" r:id="rId1"/>
    <sheet name="Summary" sheetId="3" r:id="rId2"/>
  </sheets>
  <definedNames>
    <definedName name="_xlnm._FilterDatabase" localSheetId="0" hidden="1">Table_S1!$A$2:$W$101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3" l="1"/>
  <c r="N16" i="3"/>
  <c r="M16" i="3"/>
  <c r="L16" i="3"/>
  <c r="K16" i="3"/>
  <c r="J16" i="3"/>
</calcChain>
</file>

<file path=xl/sharedStrings.xml><?xml version="1.0" encoding="utf-8"?>
<sst xmlns="http://schemas.openxmlformats.org/spreadsheetml/2006/main" count="1568" uniqueCount="225">
  <si>
    <t>NA</t>
  </si>
  <si>
    <t>CT104</t>
  </si>
  <si>
    <t>EC112</t>
  </si>
  <si>
    <t>CT83</t>
  </si>
  <si>
    <t>GG50</t>
  </si>
  <si>
    <t>GG195</t>
  </si>
  <si>
    <t>EC149</t>
  </si>
  <si>
    <t>EC167</t>
  </si>
  <si>
    <t>GG190</t>
  </si>
  <si>
    <t>EC176</t>
  </si>
  <si>
    <t>EC180</t>
  </si>
  <si>
    <t>RL196</t>
  </si>
  <si>
    <t>EC181</t>
  </si>
  <si>
    <t>GG189</t>
  </si>
  <si>
    <t>RL319</t>
  </si>
  <si>
    <t>EC227</t>
  </si>
  <si>
    <t>EC228</t>
  </si>
  <si>
    <t>EC260</t>
  </si>
  <si>
    <t>RL230</t>
  </si>
  <si>
    <t>EC296</t>
  </si>
  <si>
    <t>LS315</t>
  </si>
  <si>
    <t>EC297</t>
  </si>
  <si>
    <t>EC37</t>
  </si>
  <si>
    <t>GG63</t>
  </si>
  <si>
    <t>EC77</t>
  </si>
  <si>
    <t>EC142</t>
  </si>
  <si>
    <t>EC87</t>
  </si>
  <si>
    <t>GG191</t>
  </si>
  <si>
    <t>F1.1</t>
  </si>
  <si>
    <t>X</t>
  </si>
  <si>
    <t>EC148</t>
  </si>
  <si>
    <t>F1.11</t>
  </si>
  <si>
    <t>F1.8</t>
  </si>
  <si>
    <t>F1.13</t>
  </si>
  <si>
    <t>F1.26</t>
  </si>
  <si>
    <t>F1.15</t>
  </si>
  <si>
    <t>F1.12</t>
  </si>
  <si>
    <t>F1.16</t>
  </si>
  <si>
    <t>F1.24</t>
  </si>
  <si>
    <t>F1.30</t>
  </si>
  <si>
    <t>F1.18</t>
  </si>
  <si>
    <t>F1.2</t>
  </si>
  <si>
    <t>F1.25</t>
  </si>
  <si>
    <t>F1.14</t>
  </si>
  <si>
    <t>F1.28</t>
  </si>
  <si>
    <t>F1.32</t>
  </si>
  <si>
    <t>F1.19</t>
  </si>
  <si>
    <t>F1.33</t>
  </si>
  <si>
    <t>F1.33A</t>
  </si>
  <si>
    <t>F1.35</t>
  </si>
  <si>
    <t>F1.38</t>
  </si>
  <si>
    <t>F1.39</t>
  </si>
  <si>
    <t>F1.43</t>
  </si>
  <si>
    <t>F1.4</t>
  </si>
  <si>
    <t>EC185</t>
  </si>
  <si>
    <t>GG138</t>
  </si>
  <si>
    <t>F1.46</t>
  </si>
  <si>
    <t>F1.48</t>
  </si>
  <si>
    <t>F1.42</t>
  </si>
  <si>
    <t>F1.50</t>
  </si>
  <si>
    <t>F1.52</t>
  </si>
  <si>
    <t>F1.54</t>
  </si>
  <si>
    <t>F1.6</t>
  </si>
  <si>
    <t>EC182</t>
  </si>
  <si>
    <t>F1.62</t>
  </si>
  <si>
    <t>F1.7</t>
  </si>
  <si>
    <t>F1.9</t>
  </si>
  <si>
    <t>GG266</t>
  </si>
  <si>
    <t>FS141</t>
  </si>
  <si>
    <t>GG129</t>
  </si>
  <si>
    <t>FS168</t>
  </si>
  <si>
    <t>FS222</t>
  </si>
  <si>
    <t>FS173</t>
  </si>
  <si>
    <t>RL208</t>
  </si>
  <si>
    <t>FS90</t>
  </si>
  <si>
    <t>GG132</t>
  </si>
  <si>
    <t>GB118</t>
  </si>
  <si>
    <t>GB121</t>
  </si>
  <si>
    <t>GG103</t>
  </si>
  <si>
    <t>GG133</t>
  </si>
  <si>
    <t>GG107</t>
  </si>
  <si>
    <t>GG122</t>
  </si>
  <si>
    <t>RL216</t>
  </si>
  <si>
    <t>GG123</t>
  </si>
  <si>
    <t>GG124</t>
  </si>
  <si>
    <t>GG126</t>
  </si>
  <si>
    <t>RL201</t>
  </si>
  <si>
    <t>GG165</t>
  </si>
  <si>
    <t>EC186</t>
  </si>
  <si>
    <t>GG170</t>
  </si>
  <si>
    <t>RL207</t>
  </si>
  <si>
    <t>GG192</t>
  </si>
  <si>
    <t>RL202</t>
  </si>
  <si>
    <t>GG193</t>
  </si>
  <si>
    <t>GG194</t>
  </si>
  <si>
    <t>GG236</t>
  </si>
  <si>
    <t>GG262</t>
  </si>
  <si>
    <t>RM320</t>
  </si>
  <si>
    <t>GG263</t>
  </si>
  <si>
    <t>RM321</t>
  </si>
  <si>
    <t>GG264</t>
  </si>
  <si>
    <t>GG304</t>
  </si>
  <si>
    <t>GG306</t>
  </si>
  <si>
    <t>GG340</t>
  </si>
  <si>
    <t>GG47</t>
  </si>
  <si>
    <t>EC144</t>
  </si>
  <si>
    <t>GG55</t>
  </si>
  <si>
    <t>EC17</t>
  </si>
  <si>
    <t>GG60</t>
  </si>
  <si>
    <t>CT5</t>
  </si>
  <si>
    <t>GG68</t>
  </si>
  <si>
    <t>GG49</t>
  </si>
  <si>
    <t>GG72</t>
  </si>
  <si>
    <t>GG73</t>
  </si>
  <si>
    <t>EC34</t>
  </si>
  <si>
    <t>GG85</t>
  </si>
  <si>
    <t>GG90</t>
  </si>
  <si>
    <t>EC35</t>
  </si>
  <si>
    <t>GG91</t>
  </si>
  <si>
    <t>GB120</t>
  </si>
  <si>
    <t>EC145</t>
  </si>
  <si>
    <t>GG93</t>
  </si>
  <si>
    <t>EC78</t>
  </si>
  <si>
    <t>RL116</t>
  </si>
  <si>
    <t>RL197</t>
  </si>
  <si>
    <t>EC184</t>
  </si>
  <si>
    <t>RL205</t>
  </si>
  <si>
    <t>EC188</t>
  </si>
  <si>
    <t>RL356</t>
  </si>
  <si>
    <t>EC377</t>
  </si>
  <si>
    <t>RMAR290</t>
  </si>
  <si>
    <t>S596</t>
  </si>
  <si>
    <t>?</t>
  </si>
  <si>
    <t>SS</t>
  </si>
  <si>
    <t>Ss</t>
  </si>
  <si>
    <t>ss</t>
  </si>
  <si>
    <t>S-</t>
  </si>
  <si>
    <t>ssXSS</t>
  </si>
  <si>
    <t>wild-mated/LabCross</t>
  </si>
  <si>
    <t>WM</t>
  </si>
  <si>
    <t>LC</t>
  </si>
  <si>
    <t>YES (100%S)</t>
  </si>
  <si>
    <t>YES (100% B)</t>
  </si>
  <si>
    <t>YES (50% S, 50% B)</t>
  </si>
  <si>
    <t>BC</t>
  </si>
  <si>
    <t xml:space="preserve">BC (not with receessive, but still useful) </t>
  </si>
  <si>
    <t xml:space="preserve">BC (not with recessive, but still useful) </t>
  </si>
  <si>
    <t>F1xF1</t>
  </si>
  <si>
    <t>YES (75% S, 25% W)</t>
  </si>
  <si>
    <t>Cross (mixed x mono Dominant )</t>
  </si>
  <si>
    <t>Cross (mon x mono)</t>
  </si>
  <si>
    <t>YES (100% S)</t>
  </si>
  <si>
    <t>Cross (mono Recessive  x mixed Dominant)</t>
  </si>
  <si>
    <t>Cross (mono Recessive  x mixed recessive)</t>
  </si>
  <si>
    <t>Cross (mono x mono)</t>
  </si>
  <si>
    <t>Wild mated (mono)</t>
  </si>
  <si>
    <t>Type of cross</t>
  </si>
  <si>
    <t>informative</t>
  </si>
  <si>
    <t>Obs.Solid</t>
  </si>
  <si>
    <t>Obs.Bicolor</t>
  </si>
  <si>
    <t>Bicolor</t>
  </si>
  <si>
    <t>Mixed</t>
  </si>
  <si>
    <t>-</t>
  </si>
  <si>
    <t>Solid</t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</si>
  <si>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</si>
  <si>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t>P</t>
  </si>
  <si>
    <r>
      <t>X</t>
    </r>
    <r>
      <rPr>
        <b/>
        <sz val="12"/>
        <color theme="1"/>
        <rFont val="Calibri (Body)"/>
      </rPr>
      <t>2</t>
    </r>
  </si>
  <si>
    <t>Fixed-Bicolor</t>
  </si>
  <si>
    <t>Fixed-Solid</t>
  </si>
  <si>
    <t>Lab</t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</si>
  <si>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</si>
  <si>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</si>
  <si>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t>Backcross</t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</si>
  <si>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</si>
  <si>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</si>
  <si>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t>Fixed -Bicolor</t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</si>
  <si>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</si>
  <si>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</si>
  <si>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</si>
  <si>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r>
      <rPr>
        <sz val="12"/>
        <color theme="1"/>
        <rFont val="Calibri"/>
        <family val="2"/>
        <scheme val="minor"/>
      </rPr>
      <t>? X</t>
    </r>
    <r>
      <rPr>
        <i/>
        <sz val="12"/>
        <color theme="1"/>
        <rFont val="Calibri"/>
        <family val="2"/>
        <scheme val="minor"/>
      </rPr>
      <t xml:space="preserve"> SS</t>
    </r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</si>
  <si>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S-</t>
    </r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</si>
  <si>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ss</t>
    </r>
  </si>
  <si>
    <r>
      <rPr>
        <i/>
        <sz val="12"/>
        <color theme="1"/>
        <rFont val="Calibri"/>
        <family val="2"/>
        <scheme val="minor"/>
      </rPr>
      <t xml:space="preserve">ss </t>
    </r>
    <r>
      <rPr>
        <sz val="12"/>
        <color theme="1"/>
        <rFont val="Calibri"/>
        <family val="2"/>
        <scheme val="minor"/>
      </rPr>
      <t>X</t>
    </r>
    <r>
      <rPr>
        <i/>
        <sz val="12"/>
        <color theme="1"/>
        <rFont val="Calibri"/>
        <family val="2"/>
        <scheme val="minor"/>
      </rPr>
      <t xml:space="preserve"> S-</t>
    </r>
  </si>
  <si>
    <t>Hatched</t>
  </si>
  <si>
    <t>Sire origin</t>
  </si>
  <si>
    <t>Dam origin</t>
  </si>
  <si>
    <t>Sire dewlap morph</t>
  </si>
  <si>
    <t>Obs. Solid</t>
  </si>
  <si>
    <t>Obs. Bicolor</t>
  </si>
  <si>
    <t>Exp. Solid</t>
  </si>
  <si>
    <t>Exp. Bicolor</t>
  </si>
  <si>
    <t xml:space="preserve"># Dam </t>
  </si>
  <si>
    <t># Sire</t>
  </si>
  <si>
    <t>Assumed sire genotype</t>
  </si>
  <si>
    <t>Assumed parental genotypes</t>
  </si>
  <si>
    <t>Assumed dam genotype</t>
  </si>
  <si>
    <t>Female offsring</t>
  </si>
  <si>
    <t>Male offsring</t>
  </si>
  <si>
    <t>Sex known</t>
  </si>
  <si>
    <t># Eggs</t>
  </si>
  <si>
    <t>Fixed - Bicolor</t>
  </si>
  <si>
    <t>Fixed - Solid</t>
  </si>
  <si>
    <t>Male proportion</t>
  </si>
  <si>
    <t>SS X SS</t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</si>
  <si>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SS</t>
    </r>
  </si>
  <si>
    <r>
      <rPr>
        <i/>
        <sz val="12"/>
        <color theme="1"/>
        <rFont val="Calibri"/>
        <family val="2"/>
        <scheme val="minor"/>
      </rPr>
      <t xml:space="preserve">Ss </t>
    </r>
    <r>
      <rPr>
        <sz val="12"/>
        <color theme="1"/>
        <rFont val="Calibri"/>
        <family val="2"/>
        <scheme val="minor"/>
      </rPr>
      <t>X</t>
    </r>
    <r>
      <rPr>
        <i/>
        <sz val="12"/>
        <color theme="1"/>
        <rFont val="Calibri"/>
        <family val="2"/>
        <scheme val="minor"/>
      </rPr>
      <t xml:space="preserve"> ss</t>
    </r>
  </si>
  <si>
    <r>
      <rPr>
        <i/>
        <sz val="12"/>
        <color theme="1"/>
        <rFont val="Calibri"/>
        <family val="2"/>
        <scheme val="minor"/>
      </rPr>
      <t>ss</t>
    </r>
    <r>
      <rPr>
        <sz val="12"/>
        <color theme="1"/>
        <rFont val="Calibri"/>
        <family val="2"/>
        <scheme val="minor"/>
      </rPr>
      <t xml:space="preserve"> X </t>
    </r>
    <r>
      <rPr>
        <i/>
        <sz val="12"/>
        <color theme="1"/>
        <rFont val="Calibri"/>
        <family val="2"/>
        <scheme val="minor"/>
      </rPr>
      <t>S-</t>
    </r>
  </si>
  <si>
    <r>
      <t xml:space="preserve">? X </t>
    </r>
    <r>
      <rPr>
        <i/>
        <sz val="12"/>
        <color theme="1"/>
        <rFont val="Calibri"/>
        <family val="2"/>
        <scheme val="minor"/>
      </rPr>
      <t>SS</t>
    </r>
  </si>
  <si>
    <t>Total</t>
  </si>
  <si>
    <t>Male offspring</t>
  </si>
  <si>
    <t>Table S1: Breeding experiment for the slender anole individuals.</t>
  </si>
  <si>
    <t>Sire Locality</t>
  </si>
  <si>
    <t>Latitude</t>
  </si>
  <si>
    <t>Longitude</t>
  </si>
  <si>
    <t>El Charco</t>
  </si>
  <si>
    <t>Gamboa</t>
  </si>
  <si>
    <t>Rio Limbo</t>
  </si>
  <si>
    <t>La Seda</t>
  </si>
  <si>
    <t>Fort Sherman</t>
  </si>
  <si>
    <t>Gigante</t>
  </si>
  <si>
    <t>Rio Mendoza</t>
  </si>
  <si>
    <t>Wild caught Dam virgin (Y/N), (Lab Born,LB)</t>
  </si>
  <si>
    <t>Y</t>
  </si>
  <si>
    <t>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</si>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</sst>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 (Body)"/>
    </font>
    <font>
      <b/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0" xfId="0" applyFont="1" applyFill="1"/>
    <xf numFmtId="0" fontId="18" fillId="0" borderId="0" xfId="0" applyFont="1"/>
    <xf numFmtId="0" fontId="16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Fill="1"/>
    <xf numFmtId="0" fontId="18" fillId="0" borderId="0" xfId="0" applyFont="1" applyFill="1"/>
    <xf numFmtId="0" fontId="21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778163</xdr:colOff>
      <xdr:row>3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302BCA-DB7B-6155-E6B0-E801697ACCCC}"/>
            </a:ext>
          </a:extLst>
        </xdr:cNvPr>
        <xdr:cNvSpPr txBox="1"/>
      </xdr:nvSpPr>
      <xdr:spPr>
        <a:xfrm>
          <a:off x="8767618" y="3185391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778163</xdr:colOff>
      <xdr:row>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D60CF6-4AF4-DF4B-9339-5935F8A988DB}"/>
            </a:ext>
          </a:extLst>
        </xdr:cNvPr>
        <xdr:cNvSpPr txBox="1"/>
      </xdr:nvSpPr>
      <xdr:spPr>
        <a:xfrm>
          <a:off x="8767618" y="62345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1"/>
  <sheetViews>
    <sheetView tabSelected="1" zoomScaleNormal="100" workbookViewId="0">
      <pane ySplit="2" topLeftCell="A18" activePane="bottomLeft" state="frozen"/>
      <selection pane="bottomLeft" activeCell="E25" sqref="E25"/>
    </sheetView>
  </sheetViews>
  <sheetFormatPr baseColWidth="10" defaultRowHeight="16" x14ac:dyDescent="0.2"/>
  <cols>
    <col min="1" max="1" width="29.6640625" customWidth="1"/>
    <col min="2" max="3" width="10.83203125" customWidth="1"/>
    <col min="5" max="5" width="15.1640625" customWidth="1"/>
    <col min="7" max="7" width="13.5" customWidth="1"/>
    <col min="8" max="10" width="11.5" customWidth="1"/>
    <col min="11" max="11" width="17" customWidth="1"/>
    <col min="12" max="12" width="15.1640625" bestFit="1" customWidth="1"/>
    <col min="13" max="13" width="15.1640625" customWidth="1"/>
    <col min="14" max="14" width="19.1640625" customWidth="1"/>
    <col min="15" max="15" width="17.33203125" bestFit="1" customWidth="1"/>
  </cols>
  <sheetData>
    <row r="1" spans="1:23" x14ac:dyDescent="0.2">
      <c r="A1" t="s">
        <v>210</v>
      </c>
    </row>
    <row r="2" spans="1:23" s="1" customFormat="1" x14ac:dyDescent="0.2">
      <c r="A2" s="1" t="s">
        <v>156</v>
      </c>
      <c r="B2" s="1" t="s">
        <v>191</v>
      </c>
      <c r="C2" s="1" t="s">
        <v>221</v>
      </c>
      <c r="D2" s="1" t="s">
        <v>185</v>
      </c>
      <c r="E2" s="1" t="s">
        <v>195</v>
      </c>
      <c r="F2" s="1" t="s">
        <v>192</v>
      </c>
      <c r="G2" s="1" t="s">
        <v>184</v>
      </c>
      <c r="H2" s="1" t="s">
        <v>211</v>
      </c>
      <c r="I2" s="1" t="s">
        <v>212</v>
      </c>
      <c r="J2" s="1" t="s">
        <v>213</v>
      </c>
      <c r="K2" s="1" t="s">
        <v>186</v>
      </c>
      <c r="L2" s="1" t="s">
        <v>193</v>
      </c>
      <c r="M2" s="1" t="s">
        <v>194</v>
      </c>
      <c r="N2" s="1" t="s">
        <v>138</v>
      </c>
      <c r="O2" s="1" t="s">
        <v>157</v>
      </c>
      <c r="P2" s="1" t="s">
        <v>199</v>
      </c>
      <c r="Q2" s="1" t="s">
        <v>183</v>
      </c>
      <c r="R2" s="1" t="s">
        <v>198</v>
      </c>
      <c r="S2" s="1" t="s">
        <v>197</v>
      </c>
      <c r="T2" s="1" t="s">
        <v>196</v>
      </c>
      <c r="U2" s="1" t="s">
        <v>202</v>
      </c>
      <c r="V2" s="1" t="s">
        <v>158</v>
      </c>
      <c r="W2" s="1" t="s">
        <v>159</v>
      </c>
    </row>
    <row r="3" spans="1:23" s="6" customFormat="1" x14ac:dyDescent="0.2">
      <c r="A3" t="s">
        <v>144</v>
      </c>
      <c r="B3" t="s">
        <v>33</v>
      </c>
      <c r="C3" t="s">
        <v>224</v>
      </c>
      <c r="D3" t="s">
        <v>29</v>
      </c>
      <c r="E3" s="2" t="s">
        <v>134</v>
      </c>
      <c r="F3" t="s">
        <v>13</v>
      </c>
      <c r="G3" t="s">
        <v>200</v>
      </c>
      <c r="H3" t="s">
        <v>219</v>
      </c>
      <c r="I3" s="5">
        <v>9.1275333300000003</v>
      </c>
      <c r="J3" s="5">
        <v>-79.859016999999994</v>
      </c>
      <c r="K3" t="s">
        <v>160</v>
      </c>
      <c r="L3" s="2" t="s">
        <v>135</v>
      </c>
      <c r="M3" t="s">
        <v>205</v>
      </c>
      <c r="N3" t="s">
        <v>140</v>
      </c>
      <c r="O3" t="s">
        <v>143</v>
      </c>
      <c r="P3">
        <v>0</v>
      </c>
      <c r="Q3">
        <v>0</v>
      </c>
      <c r="R3">
        <v>0</v>
      </c>
      <c r="S3">
        <v>0</v>
      </c>
      <c r="T3">
        <v>0</v>
      </c>
      <c r="U3" t="s">
        <v>0</v>
      </c>
      <c r="V3">
        <v>0</v>
      </c>
      <c r="W3">
        <v>0</v>
      </c>
    </row>
    <row r="4" spans="1:23" s="6" customFormat="1" x14ac:dyDescent="0.2">
      <c r="A4" t="s">
        <v>144</v>
      </c>
      <c r="B4" t="s">
        <v>41</v>
      </c>
      <c r="C4" t="s">
        <v>224</v>
      </c>
      <c r="D4" t="s">
        <v>29</v>
      </c>
      <c r="E4" s="2" t="s">
        <v>134</v>
      </c>
      <c r="F4" t="s">
        <v>27</v>
      </c>
      <c r="G4" t="s">
        <v>200</v>
      </c>
      <c r="H4" t="s">
        <v>219</v>
      </c>
      <c r="I4" s="5">
        <v>9.1275333300000003</v>
      </c>
      <c r="J4" s="5">
        <v>-79.859016999999994</v>
      </c>
      <c r="K4" t="s">
        <v>160</v>
      </c>
      <c r="L4" s="2" t="s">
        <v>135</v>
      </c>
      <c r="M4" t="s">
        <v>205</v>
      </c>
      <c r="N4" t="s">
        <v>140</v>
      </c>
      <c r="O4" t="s">
        <v>143</v>
      </c>
      <c r="P4">
        <v>14</v>
      </c>
      <c r="Q4">
        <v>14</v>
      </c>
      <c r="R4">
        <v>4</v>
      </c>
      <c r="S4">
        <v>3</v>
      </c>
      <c r="T4">
        <v>1</v>
      </c>
      <c r="U4">
        <v>0.75</v>
      </c>
      <c r="V4">
        <v>0</v>
      </c>
      <c r="W4">
        <v>3</v>
      </c>
    </row>
    <row r="5" spans="1:23" s="6" customFormat="1" x14ac:dyDescent="0.2">
      <c r="A5" t="s">
        <v>144</v>
      </c>
      <c r="B5" t="s">
        <v>53</v>
      </c>
      <c r="C5" t="s">
        <v>224</v>
      </c>
      <c r="D5" t="s">
        <v>29</v>
      </c>
      <c r="E5" s="2" t="s">
        <v>134</v>
      </c>
      <c r="F5" t="s">
        <v>55</v>
      </c>
      <c r="G5" t="s">
        <v>200</v>
      </c>
      <c r="H5" t="s">
        <v>219</v>
      </c>
      <c r="I5" s="5">
        <v>9.1275333300000003</v>
      </c>
      <c r="J5" s="5">
        <v>-79.859016999999994</v>
      </c>
      <c r="K5" t="s">
        <v>160</v>
      </c>
      <c r="L5" s="2" t="s">
        <v>135</v>
      </c>
      <c r="M5" t="s">
        <v>205</v>
      </c>
      <c r="N5" t="s">
        <v>140</v>
      </c>
      <c r="O5" t="s">
        <v>143</v>
      </c>
      <c r="P5">
        <v>3</v>
      </c>
      <c r="Q5">
        <v>1</v>
      </c>
      <c r="R5">
        <v>0</v>
      </c>
      <c r="S5">
        <v>0</v>
      </c>
      <c r="T5">
        <v>0</v>
      </c>
      <c r="U5" t="s">
        <v>0</v>
      </c>
      <c r="V5">
        <v>0</v>
      </c>
      <c r="W5">
        <v>0</v>
      </c>
    </row>
    <row r="6" spans="1:23" s="6" customFormat="1" x14ac:dyDescent="0.2">
      <c r="A6" t="s">
        <v>144</v>
      </c>
      <c r="B6" t="s">
        <v>62</v>
      </c>
      <c r="C6" t="s">
        <v>224</v>
      </c>
      <c r="D6" t="s">
        <v>29</v>
      </c>
      <c r="E6" s="2" t="s">
        <v>134</v>
      </c>
      <c r="F6" t="s">
        <v>5</v>
      </c>
      <c r="G6" t="s">
        <v>200</v>
      </c>
      <c r="H6" t="s">
        <v>219</v>
      </c>
      <c r="I6" s="5">
        <v>9.1275333300000003</v>
      </c>
      <c r="J6" s="5">
        <v>-79.859016999999994</v>
      </c>
      <c r="K6" t="s">
        <v>160</v>
      </c>
      <c r="L6" s="2" t="s">
        <v>135</v>
      </c>
      <c r="M6" t="s">
        <v>205</v>
      </c>
      <c r="N6" t="s">
        <v>140</v>
      </c>
      <c r="O6" t="s">
        <v>143</v>
      </c>
      <c r="P6">
        <v>2</v>
      </c>
      <c r="Q6">
        <v>1</v>
      </c>
      <c r="R6">
        <v>0</v>
      </c>
      <c r="S6">
        <v>0</v>
      </c>
      <c r="T6">
        <v>0</v>
      </c>
      <c r="U6" t="s">
        <v>0</v>
      </c>
      <c r="V6">
        <v>0</v>
      </c>
      <c r="W6">
        <v>0</v>
      </c>
    </row>
    <row r="7" spans="1:23" s="6" customFormat="1" x14ac:dyDescent="0.2">
      <c r="A7" t="s">
        <v>144</v>
      </c>
      <c r="B7" t="s">
        <v>65</v>
      </c>
      <c r="C7" t="s">
        <v>224</v>
      </c>
      <c r="D7" t="s">
        <v>29</v>
      </c>
      <c r="E7" s="2" t="s">
        <v>134</v>
      </c>
      <c r="F7" t="s">
        <v>13</v>
      </c>
      <c r="G7" t="s">
        <v>200</v>
      </c>
      <c r="H7" t="s">
        <v>219</v>
      </c>
      <c r="I7" s="5">
        <v>9.1275333300000003</v>
      </c>
      <c r="J7" s="5">
        <v>-79.859016999999994</v>
      </c>
      <c r="K7" t="s">
        <v>160</v>
      </c>
      <c r="L7" s="2" t="s">
        <v>135</v>
      </c>
      <c r="M7" t="s">
        <v>205</v>
      </c>
      <c r="N7" t="s">
        <v>140</v>
      </c>
      <c r="O7" t="s">
        <v>143</v>
      </c>
      <c r="P7">
        <v>20</v>
      </c>
      <c r="Q7">
        <v>14</v>
      </c>
      <c r="R7">
        <v>2</v>
      </c>
      <c r="S7">
        <v>2</v>
      </c>
      <c r="T7">
        <v>0</v>
      </c>
      <c r="U7">
        <v>1</v>
      </c>
      <c r="V7">
        <v>1</v>
      </c>
      <c r="W7">
        <v>1</v>
      </c>
    </row>
    <row r="8" spans="1:23" s="6" customFormat="1" x14ac:dyDescent="0.2">
      <c r="A8" t="s">
        <v>144</v>
      </c>
      <c r="B8" t="s">
        <v>66</v>
      </c>
      <c r="C8" t="s">
        <v>224</v>
      </c>
      <c r="D8" t="s">
        <v>29</v>
      </c>
      <c r="E8" s="2" t="s">
        <v>134</v>
      </c>
      <c r="F8" t="s">
        <v>67</v>
      </c>
      <c r="G8" t="s">
        <v>200</v>
      </c>
      <c r="H8" t="s">
        <v>219</v>
      </c>
      <c r="I8" s="5">
        <v>9.1275333300000003</v>
      </c>
      <c r="J8" s="5">
        <v>-79.859016999999994</v>
      </c>
      <c r="K8" t="s">
        <v>160</v>
      </c>
      <c r="L8" s="2" t="s">
        <v>135</v>
      </c>
      <c r="M8" t="s">
        <v>205</v>
      </c>
      <c r="N8" t="s">
        <v>140</v>
      </c>
      <c r="O8" t="s">
        <v>143</v>
      </c>
      <c r="P8">
        <v>15</v>
      </c>
      <c r="Q8">
        <v>9</v>
      </c>
      <c r="R8">
        <v>5</v>
      </c>
      <c r="S8">
        <v>2</v>
      </c>
      <c r="T8">
        <v>3</v>
      </c>
      <c r="U8">
        <v>0.4</v>
      </c>
      <c r="V8">
        <v>0</v>
      </c>
      <c r="W8">
        <v>2</v>
      </c>
    </row>
    <row r="9" spans="1:23" s="6" customFormat="1" x14ac:dyDescent="0.2">
      <c r="A9" t="s">
        <v>144</v>
      </c>
      <c r="B9" t="s">
        <v>95</v>
      </c>
      <c r="C9" t="s">
        <v>224</v>
      </c>
      <c r="D9" t="s">
        <v>200</v>
      </c>
      <c r="E9" s="2" t="s">
        <v>135</v>
      </c>
      <c r="F9" t="s">
        <v>32</v>
      </c>
      <c r="G9" t="s">
        <v>29</v>
      </c>
      <c r="H9" t="s">
        <v>162</v>
      </c>
      <c r="I9" t="s">
        <v>162</v>
      </c>
      <c r="J9" t="s">
        <v>162</v>
      </c>
      <c r="K9" t="s">
        <v>163</v>
      </c>
      <c r="L9" s="2" t="s">
        <v>134</v>
      </c>
      <c r="M9" t="s">
        <v>173</v>
      </c>
      <c r="N9" t="s">
        <v>140</v>
      </c>
      <c r="O9" t="s">
        <v>143</v>
      </c>
      <c r="P9">
        <v>3</v>
      </c>
      <c r="Q9">
        <v>2</v>
      </c>
      <c r="R9">
        <v>1</v>
      </c>
      <c r="S9">
        <v>1</v>
      </c>
      <c r="T9">
        <v>0</v>
      </c>
      <c r="U9">
        <v>1</v>
      </c>
      <c r="V9">
        <v>1</v>
      </c>
      <c r="W9">
        <v>0</v>
      </c>
    </row>
    <row r="10" spans="1:23" s="6" customFormat="1" x14ac:dyDescent="0.2">
      <c r="A10" t="s">
        <v>144</v>
      </c>
      <c r="B10" t="s">
        <v>100</v>
      </c>
      <c r="C10" t="s">
        <v>222</v>
      </c>
      <c r="D10" t="s">
        <v>200</v>
      </c>
      <c r="E10" s="2" t="s">
        <v>135</v>
      </c>
      <c r="F10" t="s">
        <v>39</v>
      </c>
      <c r="G10" t="s">
        <v>29</v>
      </c>
      <c r="H10" t="s">
        <v>162</v>
      </c>
      <c r="I10" t="s">
        <v>162</v>
      </c>
      <c r="J10" t="s">
        <v>162</v>
      </c>
      <c r="K10" t="s">
        <v>163</v>
      </c>
      <c r="L10" s="2" t="s">
        <v>134</v>
      </c>
      <c r="M10" t="s">
        <v>173</v>
      </c>
      <c r="N10" t="s">
        <v>140</v>
      </c>
      <c r="O10" t="s">
        <v>143</v>
      </c>
      <c r="P10">
        <v>4</v>
      </c>
      <c r="Q10">
        <v>3</v>
      </c>
      <c r="R10">
        <v>0</v>
      </c>
      <c r="S10">
        <v>0</v>
      </c>
      <c r="T10">
        <v>0</v>
      </c>
      <c r="U10" t="s">
        <v>0</v>
      </c>
      <c r="V10">
        <v>0</v>
      </c>
      <c r="W10">
        <v>0</v>
      </c>
    </row>
    <row r="11" spans="1:23" s="6" customFormat="1" x14ac:dyDescent="0.2">
      <c r="A11" t="s">
        <v>144</v>
      </c>
      <c r="B11" t="s">
        <v>101</v>
      </c>
      <c r="C11" t="s">
        <v>224</v>
      </c>
      <c r="D11" t="s">
        <v>200</v>
      </c>
      <c r="E11" s="2" t="s">
        <v>135</v>
      </c>
      <c r="F11" t="s">
        <v>39</v>
      </c>
      <c r="G11" t="s">
        <v>29</v>
      </c>
      <c r="H11" t="s">
        <v>162</v>
      </c>
      <c r="I11" t="s">
        <v>162</v>
      </c>
      <c r="J11" t="s">
        <v>162</v>
      </c>
      <c r="K11" t="s">
        <v>163</v>
      </c>
      <c r="L11" s="2" t="s">
        <v>134</v>
      </c>
      <c r="M11" t="s">
        <v>173</v>
      </c>
      <c r="N11" t="s">
        <v>140</v>
      </c>
      <c r="O11" t="s">
        <v>143</v>
      </c>
      <c r="P11">
        <v>4</v>
      </c>
      <c r="Q11">
        <v>2</v>
      </c>
      <c r="R11">
        <v>0</v>
      </c>
      <c r="S11">
        <v>0</v>
      </c>
      <c r="T11">
        <v>0</v>
      </c>
      <c r="U11" t="s">
        <v>0</v>
      </c>
      <c r="V11">
        <v>0</v>
      </c>
      <c r="W11">
        <v>0</v>
      </c>
    </row>
    <row r="12" spans="1:23" s="6" customFormat="1" x14ac:dyDescent="0.2">
      <c r="A12" t="s">
        <v>144</v>
      </c>
      <c r="B12" t="s">
        <v>102</v>
      </c>
      <c r="C12" t="s">
        <v>224</v>
      </c>
      <c r="D12" t="s">
        <v>200</v>
      </c>
      <c r="E12" s="2" t="s">
        <v>135</v>
      </c>
      <c r="F12" t="s">
        <v>32</v>
      </c>
      <c r="G12" t="s">
        <v>29</v>
      </c>
      <c r="H12" t="s">
        <v>162</v>
      </c>
      <c r="I12" t="s">
        <v>162</v>
      </c>
      <c r="J12" t="s">
        <v>162</v>
      </c>
      <c r="K12" t="s">
        <v>163</v>
      </c>
      <c r="L12" s="2" t="s">
        <v>134</v>
      </c>
      <c r="M12" t="s">
        <v>173</v>
      </c>
      <c r="N12" t="s">
        <v>140</v>
      </c>
      <c r="O12" t="s">
        <v>143</v>
      </c>
      <c r="P12">
        <v>15</v>
      </c>
      <c r="Q12">
        <v>9</v>
      </c>
      <c r="R12">
        <v>3</v>
      </c>
      <c r="S12">
        <v>2</v>
      </c>
      <c r="T12">
        <v>1</v>
      </c>
      <c r="U12">
        <v>0.66666666699999999</v>
      </c>
      <c r="V12">
        <v>0</v>
      </c>
      <c r="W12">
        <v>2</v>
      </c>
    </row>
    <row r="13" spans="1:23" s="6" customFormat="1" x14ac:dyDescent="0.2">
      <c r="A13" t="s">
        <v>144</v>
      </c>
      <c r="B13" t="s">
        <v>103</v>
      </c>
      <c r="C13" t="s">
        <v>224</v>
      </c>
      <c r="D13" t="s">
        <v>200</v>
      </c>
      <c r="E13" s="2" t="s">
        <v>135</v>
      </c>
      <c r="F13" t="s">
        <v>38</v>
      </c>
      <c r="G13" t="s">
        <v>29</v>
      </c>
      <c r="H13" t="s">
        <v>162</v>
      </c>
      <c r="I13" t="s">
        <v>162</v>
      </c>
      <c r="J13" t="s">
        <v>162</v>
      </c>
      <c r="K13" t="s">
        <v>163</v>
      </c>
      <c r="L13" s="2" t="s">
        <v>134</v>
      </c>
      <c r="M13" t="s">
        <v>173</v>
      </c>
      <c r="N13" t="s">
        <v>140</v>
      </c>
      <c r="O13" t="s">
        <v>143</v>
      </c>
      <c r="P13">
        <v>6</v>
      </c>
      <c r="Q13">
        <v>5</v>
      </c>
      <c r="R13">
        <v>0</v>
      </c>
      <c r="S13">
        <v>0</v>
      </c>
      <c r="T13">
        <v>0</v>
      </c>
      <c r="U13" t="s">
        <v>0</v>
      </c>
      <c r="V13">
        <v>0</v>
      </c>
      <c r="W13">
        <v>0</v>
      </c>
    </row>
    <row r="14" spans="1:23" s="6" customFormat="1" x14ac:dyDescent="0.2">
      <c r="A14" t="s">
        <v>145</v>
      </c>
      <c r="B14" t="s">
        <v>41</v>
      </c>
      <c r="C14" t="s">
        <v>224</v>
      </c>
      <c r="D14" t="s">
        <v>29</v>
      </c>
      <c r="E14" s="2" t="s">
        <v>134</v>
      </c>
      <c r="F14" t="s">
        <v>25</v>
      </c>
      <c r="G14" t="s">
        <v>201</v>
      </c>
      <c r="H14" t="s">
        <v>214</v>
      </c>
      <c r="I14" s="5">
        <v>9.0846833300000007</v>
      </c>
      <c r="J14" s="5">
        <v>-79.663832999999997</v>
      </c>
      <c r="K14" t="s">
        <v>163</v>
      </c>
      <c r="L14" s="2" t="s">
        <v>133</v>
      </c>
      <c r="M14" t="s">
        <v>204</v>
      </c>
      <c r="N14" t="s">
        <v>140</v>
      </c>
      <c r="O14" t="s">
        <v>141</v>
      </c>
      <c r="P14">
        <v>18</v>
      </c>
      <c r="Q14">
        <v>13</v>
      </c>
      <c r="R14">
        <v>4</v>
      </c>
      <c r="S14">
        <v>2</v>
      </c>
      <c r="T14">
        <v>2</v>
      </c>
      <c r="U14">
        <v>0.5</v>
      </c>
      <c r="V14">
        <v>2</v>
      </c>
      <c r="W14">
        <v>0</v>
      </c>
    </row>
    <row r="15" spans="1:23" s="6" customFormat="1" x14ac:dyDescent="0.2">
      <c r="A15" t="s">
        <v>145</v>
      </c>
      <c r="B15" t="s">
        <v>53</v>
      </c>
      <c r="C15" t="s">
        <v>224</v>
      </c>
      <c r="D15" t="s">
        <v>29</v>
      </c>
      <c r="E15" s="2" t="s">
        <v>134</v>
      </c>
      <c r="F15" t="s">
        <v>54</v>
      </c>
      <c r="G15" t="s">
        <v>201</v>
      </c>
      <c r="H15" t="s">
        <v>214</v>
      </c>
      <c r="I15" s="5">
        <v>9.0846833300000007</v>
      </c>
      <c r="J15" s="5">
        <v>-79.663832999999997</v>
      </c>
      <c r="K15" t="s">
        <v>163</v>
      </c>
      <c r="L15" s="2" t="s">
        <v>133</v>
      </c>
      <c r="M15" t="s">
        <v>204</v>
      </c>
      <c r="N15" t="s">
        <v>140</v>
      </c>
      <c r="O15" t="s">
        <v>141</v>
      </c>
      <c r="P15">
        <v>12</v>
      </c>
      <c r="Q15">
        <v>11</v>
      </c>
      <c r="R15">
        <v>3</v>
      </c>
      <c r="S15">
        <v>0</v>
      </c>
      <c r="T15">
        <v>3</v>
      </c>
      <c r="U15">
        <v>0</v>
      </c>
      <c r="V15">
        <v>0</v>
      </c>
      <c r="W15">
        <v>0</v>
      </c>
    </row>
    <row r="16" spans="1:23" s="6" customFormat="1" x14ac:dyDescent="0.2">
      <c r="A16" t="s">
        <v>145</v>
      </c>
      <c r="B16" t="s">
        <v>62</v>
      </c>
      <c r="C16" t="s">
        <v>224</v>
      </c>
      <c r="D16" t="s">
        <v>29</v>
      </c>
      <c r="E16" s="2" t="s">
        <v>134</v>
      </c>
      <c r="F16" t="s">
        <v>63</v>
      </c>
      <c r="G16" t="s">
        <v>201</v>
      </c>
      <c r="H16" t="s">
        <v>214</v>
      </c>
      <c r="I16" s="5">
        <v>9.0846833300000007</v>
      </c>
      <c r="J16" s="5">
        <v>-79.663832999999997</v>
      </c>
      <c r="K16" t="s">
        <v>163</v>
      </c>
      <c r="L16" s="2" t="s">
        <v>133</v>
      </c>
      <c r="M16" t="s">
        <v>204</v>
      </c>
      <c r="N16" t="s">
        <v>140</v>
      </c>
      <c r="O16" t="s">
        <v>141</v>
      </c>
      <c r="P16">
        <v>15</v>
      </c>
      <c r="Q16">
        <v>10</v>
      </c>
      <c r="R16">
        <v>5</v>
      </c>
      <c r="S16">
        <v>2</v>
      </c>
      <c r="T16">
        <v>3</v>
      </c>
      <c r="U16">
        <v>0.4</v>
      </c>
      <c r="V16">
        <v>2</v>
      </c>
      <c r="W16">
        <v>0</v>
      </c>
    </row>
    <row r="17" spans="1:23" s="6" customFormat="1" x14ac:dyDescent="0.2">
      <c r="A17" t="s">
        <v>146</v>
      </c>
      <c r="B17" t="s">
        <v>28</v>
      </c>
      <c r="C17" t="s">
        <v>224</v>
      </c>
      <c r="D17" t="s">
        <v>29</v>
      </c>
      <c r="E17" s="2" t="s">
        <v>134</v>
      </c>
      <c r="F17" t="s">
        <v>30</v>
      </c>
      <c r="G17" t="s">
        <v>201</v>
      </c>
      <c r="H17" t="s">
        <v>214</v>
      </c>
      <c r="I17" s="5">
        <v>9.0846833300000007</v>
      </c>
      <c r="J17" s="5">
        <v>-79.663832999999997</v>
      </c>
      <c r="K17" t="s">
        <v>163</v>
      </c>
      <c r="L17" s="2" t="s">
        <v>133</v>
      </c>
      <c r="M17" t="s">
        <v>204</v>
      </c>
      <c r="N17" t="s">
        <v>140</v>
      </c>
      <c r="O17" t="s">
        <v>141</v>
      </c>
      <c r="P17">
        <v>7</v>
      </c>
      <c r="Q17">
        <v>6</v>
      </c>
      <c r="R17">
        <v>2</v>
      </c>
      <c r="S17">
        <v>2</v>
      </c>
      <c r="T17">
        <v>0</v>
      </c>
      <c r="U17">
        <v>1</v>
      </c>
      <c r="V17">
        <v>2</v>
      </c>
      <c r="W17">
        <v>0</v>
      </c>
    </row>
    <row r="18" spans="1:23" s="6" customFormat="1" x14ac:dyDescent="0.2">
      <c r="A18" s="6" t="s">
        <v>149</v>
      </c>
      <c r="B18" s="6" t="s">
        <v>123</v>
      </c>
      <c r="C18" t="s">
        <v>223</v>
      </c>
      <c r="D18" s="6" t="s">
        <v>161</v>
      </c>
      <c r="E18" s="7" t="s">
        <v>132</v>
      </c>
      <c r="F18" s="6" t="s">
        <v>54</v>
      </c>
      <c r="G18" s="6" t="s">
        <v>201</v>
      </c>
      <c r="H18" s="8" t="s">
        <v>214</v>
      </c>
      <c r="I18" s="8">
        <v>9.0846833300000007</v>
      </c>
      <c r="J18" s="8">
        <v>-79.663832999999997</v>
      </c>
      <c r="K18" s="6" t="s">
        <v>163</v>
      </c>
      <c r="L18" s="7" t="s">
        <v>133</v>
      </c>
      <c r="M18" s="6" t="s">
        <v>207</v>
      </c>
      <c r="N18" s="6" t="s">
        <v>140</v>
      </c>
      <c r="O18" s="6" t="s">
        <v>151</v>
      </c>
      <c r="P18" s="6">
        <v>5</v>
      </c>
      <c r="Q18" s="6">
        <v>3</v>
      </c>
      <c r="R18" s="6">
        <v>3</v>
      </c>
      <c r="S18" s="6">
        <v>1</v>
      </c>
      <c r="T18" s="6">
        <v>2</v>
      </c>
      <c r="U18" s="6">
        <v>0.33333333300000001</v>
      </c>
      <c r="V18" s="6">
        <v>1</v>
      </c>
      <c r="W18" s="6">
        <v>0</v>
      </c>
    </row>
    <row r="19" spans="1:23" s="6" customFormat="1" x14ac:dyDescent="0.2">
      <c r="A19" s="6" t="s">
        <v>149</v>
      </c>
      <c r="B19" s="6" t="s">
        <v>124</v>
      </c>
      <c r="C19" t="s">
        <v>222</v>
      </c>
      <c r="D19" s="6" t="s">
        <v>161</v>
      </c>
      <c r="E19" s="7" t="s">
        <v>132</v>
      </c>
      <c r="F19" s="6" t="s">
        <v>125</v>
      </c>
      <c r="G19" s="6" t="s">
        <v>201</v>
      </c>
      <c r="H19" s="8" t="s">
        <v>214</v>
      </c>
      <c r="I19" s="8">
        <v>9.0846833300000007</v>
      </c>
      <c r="J19" s="8">
        <v>-79.663832999999997</v>
      </c>
      <c r="K19" s="6" t="s">
        <v>163</v>
      </c>
      <c r="L19" s="7" t="s">
        <v>133</v>
      </c>
      <c r="M19" s="6" t="s">
        <v>207</v>
      </c>
      <c r="N19" s="6" t="s">
        <v>140</v>
      </c>
      <c r="O19" s="6" t="s">
        <v>151</v>
      </c>
      <c r="P19" s="6">
        <v>7</v>
      </c>
      <c r="Q19" s="6">
        <v>5</v>
      </c>
      <c r="R19" s="6">
        <v>3</v>
      </c>
      <c r="S19" s="6">
        <v>1</v>
      </c>
      <c r="T19" s="6">
        <v>2</v>
      </c>
      <c r="U19" s="6">
        <v>0.33333333300000001</v>
      </c>
      <c r="V19" s="6">
        <v>1</v>
      </c>
      <c r="W19" s="6">
        <v>0</v>
      </c>
    </row>
    <row r="20" spans="1:23" s="6" customFormat="1" x14ac:dyDescent="0.2">
      <c r="A20" s="6" t="s">
        <v>149</v>
      </c>
      <c r="B20" s="6" t="s">
        <v>126</v>
      </c>
      <c r="C20" t="s">
        <v>222</v>
      </c>
      <c r="D20" s="6" t="s">
        <v>161</v>
      </c>
      <c r="E20" s="7" t="s">
        <v>132</v>
      </c>
      <c r="F20" s="6" t="s">
        <v>127</v>
      </c>
      <c r="G20" s="6" t="s">
        <v>201</v>
      </c>
      <c r="H20" s="8" t="s">
        <v>214</v>
      </c>
      <c r="I20" s="8">
        <v>9.0846833300000007</v>
      </c>
      <c r="J20" s="8">
        <v>-79.663832999999997</v>
      </c>
      <c r="K20" s="6" t="s">
        <v>163</v>
      </c>
      <c r="L20" s="7" t="s">
        <v>133</v>
      </c>
      <c r="M20" s="6" t="s">
        <v>207</v>
      </c>
      <c r="N20" s="6" t="s">
        <v>140</v>
      </c>
      <c r="O20" s="6" t="s">
        <v>151</v>
      </c>
      <c r="P20" s="6">
        <v>6</v>
      </c>
      <c r="Q20" s="6">
        <v>4</v>
      </c>
      <c r="R20" s="6">
        <v>1</v>
      </c>
      <c r="S20" s="6">
        <v>0</v>
      </c>
      <c r="T20" s="6">
        <v>1</v>
      </c>
      <c r="U20" s="6">
        <v>0</v>
      </c>
      <c r="V20" s="6">
        <v>0</v>
      </c>
      <c r="W20" s="6">
        <v>0</v>
      </c>
    </row>
    <row r="21" spans="1:23" s="6" customFormat="1" x14ac:dyDescent="0.2">
      <c r="A21" s="6" t="s">
        <v>149</v>
      </c>
      <c r="B21" s="6" t="s">
        <v>128</v>
      </c>
      <c r="C21" t="s">
        <v>222</v>
      </c>
      <c r="D21" s="6" t="s">
        <v>161</v>
      </c>
      <c r="E21" s="7" t="s">
        <v>132</v>
      </c>
      <c r="F21" s="6" t="s">
        <v>129</v>
      </c>
      <c r="G21" s="6" t="s">
        <v>201</v>
      </c>
      <c r="H21" s="8" t="s">
        <v>214</v>
      </c>
      <c r="I21" s="8">
        <v>9.0846833300000007</v>
      </c>
      <c r="J21" s="8">
        <v>-79.663832999999997</v>
      </c>
      <c r="K21" s="6" t="s">
        <v>163</v>
      </c>
      <c r="L21" s="7" t="s">
        <v>133</v>
      </c>
      <c r="M21" s="6" t="s">
        <v>207</v>
      </c>
      <c r="N21" s="6" t="s">
        <v>140</v>
      </c>
      <c r="O21" s="6" t="s">
        <v>151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 t="s">
        <v>0</v>
      </c>
      <c r="V21" s="6">
        <v>0</v>
      </c>
      <c r="W21" s="6">
        <v>0</v>
      </c>
    </row>
    <row r="22" spans="1:23" s="6" customFormat="1" x14ac:dyDescent="0.2">
      <c r="A22" s="6" t="s">
        <v>149</v>
      </c>
      <c r="B22" s="6" t="s">
        <v>131</v>
      </c>
      <c r="C22" t="s">
        <v>222</v>
      </c>
      <c r="D22" s="6" t="s">
        <v>161</v>
      </c>
      <c r="E22" s="7" t="s">
        <v>132</v>
      </c>
      <c r="F22" s="6" t="s">
        <v>119</v>
      </c>
      <c r="G22" s="6" t="s">
        <v>201</v>
      </c>
      <c r="H22" s="8" t="s">
        <v>215</v>
      </c>
      <c r="I22" s="8">
        <v>9.1204000000000001</v>
      </c>
      <c r="J22" s="8">
        <v>-79.7012</v>
      </c>
      <c r="K22" s="6" t="s">
        <v>163</v>
      </c>
      <c r="L22" s="7" t="s">
        <v>133</v>
      </c>
      <c r="M22" s="6" t="s">
        <v>207</v>
      </c>
      <c r="N22" s="6" t="s">
        <v>140</v>
      </c>
      <c r="O22" s="6" t="s">
        <v>151</v>
      </c>
      <c r="P22" s="6">
        <v>6</v>
      </c>
      <c r="Q22" s="6">
        <v>6</v>
      </c>
      <c r="R22" s="6">
        <v>4</v>
      </c>
      <c r="S22" s="6">
        <v>4</v>
      </c>
      <c r="T22" s="6">
        <v>0</v>
      </c>
      <c r="U22" s="6">
        <v>1</v>
      </c>
      <c r="V22" s="6">
        <v>4</v>
      </c>
      <c r="W22" s="6">
        <v>0</v>
      </c>
    </row>
    <row r="23" spans="1:23" s="6" customFormat="1" x14ac:dyDescent="0.2">
      <c r="A23" s="6" t="s">
        <v>150</v>
      </c>
      <c r="B23" s="6" t="s">
        <v>1</v>
      </c>
      <c r="C23" s="6" t="s">
        <v>222</v>
      </c>
      <c r="D23" s="6" t="s">
        <v>163</v>
      </c>
      <c r="E23" s="7" t="s">
        <v>133</v>
      </c>
      <c r="F23" s="6" t="s">
        <v>2</v>
      </c>
      <c r="G23" s="6" t="s">
        <v>201</v>
      </c>
      <c r="H23" s="6" t="s">
        <v>214</v>
      </c>
      <c r="I23" s="8">
        <v>9.0846833300000007</v>
      </c>
      <c r="J23" s="8">
        <v>-79.663832999999997</v>
      </c>
      <c r="K23" s="6" t="s">
        <v>163</v>
      </c>
      <c r="L23" s="7" t="s">
        <v>133</v>
      </c>
      <c r="M23" s="6" t="s">
        <v>178</v>
      </c>
      <c r="N23" s="6" t="s">
        <v>140</v>
      </c>
      <c r="O23" s="6" t="s">
        <v>151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 t="s">
        <v>0</v>
      </c>
      <c r="V23" s="6">
        <v>0</v>
      </c>
      <c r="W23" s="6">
        <v>0</v>
      </c>
    </row>
    <row r="24" spans="1:23" s="6" customFormat="1" x14ac:dyDescent="0.2">
      <c r="A24" s="6" t="s">
        <v>150</v>
      </c>
      <c r="B24" s="6" t="s">
        <v>3</v>
      </c>
      <c r="C24" s="6" t="s">
        <v>222</v>
      </c>
      <c r="D24" s="6" t="s">
        <v>163</v>
      </c>
      <c r="E24" s="7" t="s">
        <v>133</v>
      </c>
      <c r="F24" s="6" t="s">
        <v>4</v>
      </c>
      <c r="G24" s="6" t="s">
        <v>200</v>
      </c>
      <c r="H24" s="6" t="s">
        <v>219</v>
      </c>
      <c r="I24" s="8">
        <v>9.1275333300000003</v>
      </c>
      <c r="J24" s="8">
        <v>-79.859016999999994</v>
      </c>
      <c r="K24" s="6" t="s">
        <v>160</v>
      </c>
      <c r="L24" s="7" t="s">
        <v>135</v>
      </c>
      <c r="M24" s="6" t="s">
        <v>137</v>
      </c>
      <c r="N24" s="6" t="s">
        <v>140</v>
      </c>
      <c r="O24" s="6" t="s">
        <v>151</v>
      </c>
      <c r="P24" s="6">
        <v>3</v>
      </c>
      <c r="Q24" s="6">
        <v>2</v>
      </c>
      <c r="R24" s="6">
        <v>1</v>
      </c>
      <c r="S24" s="6">
        <v>0</v>
      </c>
      <c r="T24" s="6">
        <v>1</v>
      </c>
      <c r="U24" s="6">
        <v>0</v>
      </c>
      <c r="V24" s="6">
        <v>0</v>
      </c>
      <c r="W24" s="6">
        <v>0</v>
      </c>
    </row>
    <row r="25" spans="1:23" s="6" customFormat="1" x14ac:dyDescent="0.2">
      <c r="A25" s="6" t="s">
        <v>150</v>
      </c>
      <c r="B25" s="6" t="s">
        <v>3</v>
      </c>
      <c r="C25" s="6" t="s">
        <v>222</v>
      </c>
      <c r="D25" s="6" t="s">
        <v>163</v>
      </c>
      <c r="E25" s="7" t="s">
        <v>133</v>
      </c>
      <c r="F25" s="6" t="s">
        <v>5</v>
      </c>
      <c r="G25" s="6" t="s">
        <v>200</v>
      </c>
      <c r="H25" s="6" t="s">
        <v>219</v>
      </c>
      <c r="I25" s="8">
        <v>9.1275333300000003</v>
      </c>
      <c r="J25" s="8">
        <v>-79.859016999999994</v>
      </c>
      <c r="K25" s="6" t="s">
        <v>160</v>
      </c>
      <c r="L25" s="7" t="s">
        <v>135</v>
      </c>
      <c r="M25" s="6" t="s">
        <v>137</v>
      </c>
      <c r="N25" s="6" t="s">
        <v>140</v>
      </c>
      <c r="O25" s="6" t="s">
        <v>151</v>
      </c>
      <c r="P25" s="6">
        <v>1</v>
      </c>
      <c r="Q25" s="6">
        <v>0</v>
      </c>
      <c r="R25" s="6">
        <v>0</v>
      </c>
      <c r="S25" s="6">
        <v>0</v>
      </c>
      <c r="T25" s="6">
        <v>0</v>
      </c>
      <c r="U25" s="6" t="s">
        <v>0</v>
      </c>
      <c r="V25" s="6">
        <v>0</v>
      </c>
      <c r="W25" s="6">
        <v>0</v>
      </c>
    </row>
    <row r="26" spans="1:23" s="6" customFormat="1" x14ac:dyDescent="0.2">
      <c r="A26" s="6" t="s">
        <v>150</v>
      </c>
      <c r="B26" s="6" t="s">
        <v>6</v>
      </c>
      <c r="C26" s="6" t="s">
        <v>223</v>
      </c>
      <c r="D26" s="6" t="s">
        <v>163</v>
      </c>
      <c r="E26" s="7" t="s">
        <v>133</v>
      </c>
      <c r="F26" s="6" t="s">
        <v>0</v>
      </c>
      <c r="G26" s="6" t="s">
        <v>201</v>
      </c>
      <c r="H26" s="6" t="s">
        <v>214</v>
      </c>
      <c r="I26" s="8">
        <v>9.0846833300000007</v>
      </c>
      <c r="J26" s="8">
        <v>-79.663832999999997</v>
      </c>
      <c r="K26" s="6" t="s">
        <v>163</v>
      </c>
      <c r="L26" s="7" t="s">
        <v>133</v>
      </c>
      <c r="M26" s="6" t="s">
        <v>203</v>
      </c>
      <c r="N26" s="6" t="s">
        <v>139</v>
      </c>
      <c r="O26" s="6" t="s">
        <v>151</v>
      </c>
      <c r="P26" s="6">
        <v>4</v>
      </c>
      <c r="Q26" s="6">
        <v>1</v>
      </c>
      <c r="R26" s="6">
        <v>1</v>
      </c>
      <c r="S26" s="6">
        <v>0</v>
      </c>
      <c r="T26" s="6">
        <v>1</v>
      </c>
      <c r="U26" s="6">
        <v>0</v>
      </c>
      <c r="V26" s="6">
        <v>0</v>
      </c>
      <c r="W26" s="6">
        <v>0</v>
      </c>
    </row>
    <row r="27" spans="1:23" s="6" customFormat="1" x14ac:dyDescent="0.2">
      <c r="A27" s="6" t="s">
        <v>150</v>
      </c>
      <c r="B27" s="6" t="s">
        <v>7</v>
      </c>
      <c r="C27" s="6" t="s">
        <v>223</v>
      </c>
      <c r="D27" s="6" t="s">
        <v>163</v>
      </c>
      <c r="E27" s="7" t="s">
        <v>133</v>
      </c>
      <c r="F27" s="6" t="s">
        <v>8</v>
      </c>
      <c r="G27" s="6" t="s">
        <v>200</v>
      </c>
      <c r="H27" s="6" t="s">
        <v>219</v>
      </c>
      <c r="I27" s="8">
        <v>9.1275333300000003</v>
      </c>
      <c r="J27" s="8">
        <v>-79.859016999999994</v>
      </c>
      <c r="K27" s="6" t="s">
        <v>160</v>
      </c>
      <c r="L27" s="7" t="s">
        <v>135</v>
      </c>
      <c r="M27" s="6" t="s">
        <v>137</v>
      </c>
      <c r="N27" s="6" t="s">
        <v>140</v>
      </c>
      <c r="O27" s="6" t="s">
        <v>151</v>
      </c>
      <c r="P27" s="6">
        <v>21</v>
      </c>
      <c r="Q27" s="6">
        <v>10</v>
      </c>
      <c r="R27" s="6">
        <v>5</v>
      </c>
      <c r="S27" s="6">
        <v>1</v>
      </c>
      <c r="T27" s="6">
        <v>4</v>
      </c>
      <c r="U27" s="6">
        <v>0.2</v>
      </c>
      <c r="V27" s="6">
        <v>0</v>
      </c>
      <c r="W27" s="6">
        <v>0</v>
      </c>
    </row>
    <row r="28" spans="1:23" s="6" customFormat="1" x14ac:dyDescent="0.2">
      <c r="A28" s="6" t="s">
        <v>150</v>
      </c>
      <c r="B28" s="6" t="s">
        <v>9</v>
      </c>
      <c r="C28" s="6" t="s">
        <v>223</v>
      </c>
      <c r="D28" s="6" t="s">
        <v>163</v>
      </c>
      <c r="E28" s="7" t="s">
        <v>133</v>
      </c>
      <c r="F28" s="6" t="s">
        <v>0</v>
      </c>
      <c r="G28" s="6" t="s">
        <v>201</v>
      </c>
      <c r="H28" s="6" t="s">
        <v>214</v>
      </c>
      <c r="I28" s="8">
        <v>9.0846833300000007</v>
      </c>
      <c r="J28" s="8">
        <v>-79.663832999999997</v>
      </c>
      <c r="K28" s="6" t="s">
        <v>163</v>
      </c>
      <c r="L28" s="7" t="s">
        <v>133</v>
      </c>
      <c r="M28" s="6" t="s">
        <v>203</v>
      </c>
      <c r="N28" s="6" t="s">
        <v>139</v>
      </c>
      <c r="O28" s="6" t="s">
        <v>151</v>
      </c>
      <c r="P28" s="6">
        <v>7</v>
      </c>
      <c r="Q28" s="6">
        <v>7</v>
      </c>
      <c r="R28" s="6">
        <v>5</v>
      </c>
      <c r="S28" s="6">
        <v>3</v>
      </c>
      <c r="T28" s="6">
        <v>2</v>
      </c>
      <c r="U28" s="6">
        <v>0.6</v>
      </c>
      <c r="V28" s="6">
        <v>3</v>
      </c>
      <c r="W28" s="6">
        <v>0</v>
      </c>
    </row>
    <row r="29" spans="1:23" s="6" customFormat="1" x14ac:dyDescent="0.2">
      <c r="A29" s="6" t="s">
        <v>150</v>
      </c>
      <c r="B29" s="6" t="s">
        <v>9</v>
      </c>
      <c r="C29" s="6" t="s">
        <v>223</v>
      </c>
      <c r="D29" s="6" t="s">
        <v>163</v>
      </c>
      <c r="E29" s="7" t="s">
        <v>133</v>
      </c>
      <c r="F29" s="6" t="s">
        <v>0</v>
      </c>
      <c r="G29" s="6" t="s">
        <v>201</v>
      </c>
      <c r="H29" s="6" t="s">
        <v>214</v>
      </c>
      <c r="I29" s="8">
        <v>9.0846833300000007</v>
      </c>
      <c r="J29" s="8">
        <v>-79.663832999999997</v>
      </c>
      <c r="K29" s="6" t="s">
        <v>163</v>
      </c>
      <c r="L29" s="7" t="s">
        <v>133</v>
      </c>
      <c r="M29" s="6" t="s">
        <v>203</v>
      </c>
      <c r="N29" s="6" t="s">
        <v>140</v>
      </c>
      <c r="O29" s="6" t="s">
        <v>151</v>
      </c>
      <c r="P29" s="6">
        <v>2</v>
      </c>
      <c r="Q29" s="6">
        <v>2</v>
      </c>
      <c r="R29" s="6">
        <v>1</v>
      </c>
      <c r="S29" s="6">
        <v>0</v>
      </c>
      <c r="T29" s="6">
        <v>1</v>
      </c>
      <c r="U29" s="6">
        <v>0</v>
      </c>
      <c r="V29" s="6">
        <v>0</v>
      </c>
      <c r="W29" s="6">
        <v>0</v>
      </c>
    </row>
    <row r="30" spans="1:23" s="6" customFormat="1" x14ac:dyDescent="0.2">
      <c r="A30" s="6" t="s">
        <v>150</v>
      </c>
      <c r="B30" s="6" t="s">
        <v>10</v>
      </c>
      <c r="C30" s="6" t="s">
        <v>222</v>
      </c>
      <c r="D30" s="6" t="s">
        <v>163</v>
      </c>
      <c r="E30" s="7" t="s">
        <v>133</v>
      </c>
      <c r="F30" s="6" t="s">
        <v>11</v>
      </c>
      <c r="G30" s="6" t="s">
        <v>161</v>
      </c>
      <c r="H30" s="6" t="s">
        <v>216</v>
      </c>
      <c r="I30" s="8">
        <v>9.1591833299999994</v>
      </c>
      <c r="J30" s="8">
        <v>-79.745249999999999</v>
      </c>
      <c r="K30" s="6" t="s">
        <v>163</v>
      </c>
      <c r="L30" s="7" t="s">
        <v>136</v>
      </c>
      <c r="M30" s="6" t="s">
        <v>180</v>
      </c>
      <c r="N30" s="6" t="s">
        <v>140</v>
      </c>
      <c r="O30" s="6" t="s">
        <v>151</v>
      </c>
      <c r="P30" s="6">
        <v>6</v>
      </c>
      <c r="Q30" s="6">
        <v>5</v>
      </c>
      <c r="R30" s="6">
        <v>4</v>
      </c>
      <c r="S30" s="6">
        <v>4</v>
      </c>
      <c r="T30" s="6">
        <v>0</v>
      </c>
      <c r="U30" s="6">
        <v>1</v>
      </c>
      <c r="V30" s="6">
        <v>4</v>
      </c>
      <c r="W30" s="6">
        <v>0</v>
      </c>
    </row>
    <row r="31" spans="1:23" s="6" customFormat="1" x14ac:dyDescent="0.2">
      <c r="A31" s="6" t="s">
        <v>150</v>
      </c>
      <c r="B31" s="6" t="s">
        <v>12</v>
      </c>
      <c r="C31" s="6" t="s">
        <v>222</v>
      </c>
      <c r="D31" s="6" t="s">
        <v>163</v>
      </c>
      <c r="E31" s="7" t="s">
        <v>133</v>
      </c>
      <c r="F31" s="6" t="s">
        <v>14</v>
      </c>
      <c r="G31" s="6" t="s">
        <v>161</v>
      </c>
      <c r="H31" s="8" t="s">
        <v>162</v>
      </c>
      <c r="I31" s="8" t="s">
        <v>162</v>
      </c>
      <c r="J31" s="8" t="s">
        <v>162</v>
      </c>
      <c r="K31" s="6" t="s">
        <v>160</v>
      </c>
      <c r="L31" s="7" t="s">
        <v>135</v>
      </c>
      <c r="M31" s="6" t="s">
        <v>176</v>
      </c>
      <c r="N31" s="6" t="s">
        <v>140</v>
      </c>
      <c r="O31" s="6" t="s">
        <v>151</v>
      </c>
      <c r="P31" s="6">
        <v>9</v>
      </c>
      <c r="Q31" s="6">
        <v>7</v>
      </c>
      <c r="R31" s="6">
        <v>0</v>
      </c>
      <c r="S31" s="6">
        <v>0</v>
      </c>
      <c r="T31" s="6">
        <v>0</v>
      </c>
      <c r="U31" s="6" t="s">
        <v>0</v>
      </c>
      <c r="V31" s="6">
        <v>0</v>
      </c>
      <c r="W31" s="6">
        <v>0</v>
      </c>
    </row>
    <row r="32" spans="1:23" s="6" customFormat="1" x14ac:dyDescent="0.2">
      <c r="A32" s="6" t="s">
        <v>150</v>
      </c>
      <c r="B32" s="6" t="s">
        <v>12</v>
      </c>
      <c r="C32" s="6" t="s">
        <v>222</v>
      </c>
      <c r="D32" s="6" t="s">
        <v>163</v>
      </c>
      <c r="E32" s="7" t="s">
        <v>133</v>
      </c>
      <c r="F32" s="6" t="s">
        <v>13</v>
      </c>
      <c r="G32" s="6" t="s">
        <v>200</v>
      </c>
      <c r="H32" s="6" t="s">
        <v>219</v>
      </c>
      <c r="I32" s="8">
        <v>9.1275333300000003</v>
      </c>
      <c r="J32" s="8">
        <v>-79.859016999999994</v>
      </c>
      <c r="K32" s="6" t="s">
        <v>160</v>
      </c>
      <c r="L32" s="7" t="s">
        <v>135</v>
      </c>
      <c r="M32" s="6" t="s">
        <v>137</v>
      </c>
      <c r="N32" s="6" t="s">
        <v>140</v>
      </c>
      <c r="O32" s="6" t="s">
        <v>151</v>
      </c>
      <c r="P32" s="6">
        <v>10</v>
      </c>
      <c r="Q32" s="6">
        <v>2</v>
      </c>
      <c r="R32" s="6">
        <v>1</v>
      </c>
      <c r="S32" s="6">
        <v>1</v>
      </c>
      <c r="T32" s="6">
        <v>0</v>
      </c>
      <c r="U32" s="6">
        <v>1</v>
      </c>
      <c r="V32" s="6">
        <v>1</v>
      </c>
      <c r="W32" s="6">
        <v>0</v>
      </c>
    </row>
    <row r="33" spans="1:23" s="6" customFormat="1" x14ac:dyDescent="0.2">
      <c r="A33" s="6" t="s">
        <v>150</v>
      </c>
      <c r="B33" s="6" t="s">
        <v>12</v>
      </c>
      <c r="C33" s="6" t="s">
        <v>222</v>
      </c>
      <c r="D33" s="6" t="s">
        <v>163</v>
      </c>
      <c r="E33" s="7" t="s">
        <v>133</v>
      </c>
      <c r="F33" s="6" t="s">
        <v>13</v>
      </c>
      <c r="G33" s="6" t="s">
        <v>200</v>
      </c>
      <c r="H33" s="6" t="s">
        <v>219</v>
      </c>
      <c r="I33" s="8">
        <v>9.1275333300000003</v>
      </c>
      <c r="J33" s="8">
        <v>-79.859016999999994</v>
      </c>
      <c r="K33" s="6" t="s">
        <v>160</v>
      </c>
      <c r="L33" s="7" t="s">
        <v>135</v>
      </c>
      <c r="M33" s="6" t="s">
        <v>137</v>
      </c>
      <c r="N33" s="6" t="s">
        <v>140</v>
      </c>
      <c r="O33" s="6" t="s">
        <v>151</v>
      </c>
      <c r="P33" s="6">
        <v>8</v>
      </c>
      <c r="Q33" s="6">
        <v>2</v>
      </c>
      <c r="R33" s="6">
        <v>1</v>
      </c>
      <c r="S33" s="6">
        <v>1</v>
      </c>
      <c r="T33" s="6">
        <v>0</v>
      </c>
      <c r="U33" s="6">
        <v>1</v>
      </c>
      <c r="V33" s="6">
        <v>1</v>
      </c>
      <c r="W33" s="6">
        <v>0</v>
      </c>
    </row>
    <row r="34" spans="1:23" s="6" customFormat="1" x14ac:dyDescent="0.2">
      <c r="A34" s="6" t="s">
        <v>150</v>
      </c>
      <c r="B34" s="6" t="s">
        <v>15</v>
      </c>
      <c r="C34" s="6" t="s">
        <v>223</v>
      </c>
      <c r="D34" s="6" t="s">
        <v>163</v>
      </c>
      <c r="E34" s="7" t="s">
        <v>133</v>
      </c>
      <c r="F34" s="6" t="s">
        <v>0</v>
      </c>
      <c r="G34" s="6" t="s">
        <v>201</v>
      </c>
      <c r="H34" s="6" t="s">
        <v>214</v>
      </c>
      <c r="I34" s="8">
        <v>9.0846833300000007</v>
      </c>
      <c r="J34" s="8">
        <v>-79.663832999999997</v>
      </c>
      <c r="K34" s="6" t="s">
        <v>163</v>
      </c>
      <c r="L34" s="7" t="s">
        <v>133</v>
      </c>
      <c r="M34" s="6" t="s">
        <v>203</v>
      </c>
      <c r="N34" s="6" t="s">
        <v>139</v>
      </c>
      <c r="O34" s="6" t="s">
        <v>151</v>
      </c>
      <c r="P34" s="6">
        <v>6</v>
      </c>
      <c r="Q34" s="6">
        <v>1</v>
      </c>
      <c r="R34" s="6">
        <v>0</v>
      </c>
      <c r="S34" s="6">
        <v>0</v>
      </c>
      <c r="T34" s="6">
        <v>0</v>
      </c>
      <c r="U34" s="6" t="s">
        <v>0</v>
      </c>
      <c r="V34" s="6">
        <v>0</v>
      </c>
      <c r="W34" s="6">
        <v>0</v>
      </c>
    </row>
    <row r="35" spans="1:23" s="6" customFormat="1" x14ac:dyDescent="0.2">
      <c r="A35" s="6" t="s">
        <v>150</v>
      </c>
      <c r="B35" s="6" t="s">
        <v>16</v>
      </c>
      <c r="C35" s="6" t="s">
        <v>223</v>
      </c>
      <c r="D35" s="6" t="s">
        <v>163</v>
      </c>
      <c r="E35" s="7" t="s">
        <v>133</v>
      </c>
      <c r="F35" s="6" t="s">
        <v>0</v>
      </c>
      <c r="G35" s="6" t="s">
        <v>201</v>
      </c>
      <c r="H35" s="6" t="s">
        <v>214</v>
      </c>
      <c r="I35" s="8">
        <v>9.0846833300000007</v>
      </c>
      <c r="J35" s="8">
        <v>-79.663832999999997</v>
      </c>
      <c r="K35" s="6" t="s">
        <v>163</v>
      </c>
      <c r="L35" s="7" t="s">
        <v>133</v>
      </c>
      <c r="M35" s="6" t="s">
        <v>203</v>
      </c>
      <c r="N35" s="6" t="s">
        <v>139</v>
      </c>
      <c r="O35" s="6" t="s">
        <v>151</v>
      </c>
      <c r="P35" s="6">
        <v>22</v>
      </c>
      <c r="Q35" s="6">
        <v>17</v>
      </c>
      <c r="R35" s="6">
        <v>0</v>
      </c>
      <c r="S35" s="6">
        <v>0</v>
      </c>
      <c r="T35" s="6">
        <v>0</v>
      </c>
      <c r="U35" s="6" t="s">
        <v>0</v>
      </c>
      <c r="V35" s="6">
        <v>0</v>
      </c>
      <c r="W35" s="6">
        <v>0</v>
      </c>
    </row>
    <row r="36" spans="1:23" s="6" customFormat="1" x14ac:dyDescent="0.2">
      <c r="A36" s="6" t="s">
        <v>150</v>
      </c>
      <c r="B36" s="6" t="s">
        <v>17</v>
      </c>
      <c r="C36" s="6" t="s">
        <v>222</v>
      </c>
      <c r="D36" s="6" t="s">
        <v>163</v>
      </c>
      <c r="E36" s="7" t="s">
        <v>133</v>
      </c>
      <c r="F36" s="6" t="s">
        <v>18</v>
      </c>
      <c r="G36" s="6" t="s">
        <v>161</v>
      </c>
      <c r="H36" s="6" t="s">
        <v>216</v>
      </c>
      <c r="I36" s="8">
        <v>9.1591833299999994</v>
      </c>
      <c r="J36" s="8">
        <v>-79.745249999999999</v>
      </c>
      <c r="K36" s="6" t="s">
        <v>160</v>
      </c>
      <c r="L36" s="7" t="s">
        <v>135</v>
      </c>
      <c r="M36" s="6" t="s">
        <v>176</v>
      </c>
      <c r="N36" s="6" t="s">
        <v>140</v>
      </c>
      <c r="O36" s="6" t="s">
        <v>151</v>
      </c>
      <c r="P36" s="6">
        <v>11</v>
      </c>
      <c r="Q36" s="6">
        <v>7</v>
      </c>
      <c r="R36" s="6">
        <v>2</v>
      </c>
      <c r="S36" s="6">
        <v>2</v>
      </c>
      <c r="T36" s="6">
        <v>0</v>
      </c>
      <c r="U36" s="6">
        <v>1</v>
      </c>
      <c r="V36" s="6">
        <v>2</v>
      </c>
      <c r="W36" s="6">
        <v>0</v>
      </c>
    </row>
    <row r="37" spans="1:23" s="6" customFormat="1" x14ac:dyDescent="0.2">
      <c r="A37" s="6" t="s">
        <v>150</v>
      </c>
      <c r="B37" s="6" t="s">
        <v>19</v>
      </c>
      <c r="C37" s="6" t="s">
        <v>222</v>
      </c>
      <c r="D37" s="6" t="s">
        <v>163</v>
      </c>
      <c r="E37" s="7" t="s">
        <v>133</v>
      </c>
      <c r="F37" s="6" t="s">
        <v>20</v>
      </c>
      <c r="G37" s="6" t="s">
        <v>161</v>
      </c>
      <c r="H37" s="6" t="s">
        <v>217</v>
      </c>
      <c r="I37" s="8" t="s">
        <v>162</v>
      </c>
      <c r="J37" s="8" t="s">
        <v>162</v>
      </c>
      <c r="K37" s="6" t="s">
        <v>163</v>
      </c>
      <c r="L37" s="7" t="s">
        <v>136</v>
      </c>
      <c r="M37" s="6" t="s">
        <v>180</v>
      </c>
      <c r="N37" s="6" t="s">
        <v>140</v>
      </c>
      <c r="O37" s="6" t="s">
        <v>151</v>
      </c>
      <c r="P37" s="6">
        <v>4</v>
      </c>
      <c r="Q37" s="6">
        <v>1</v>
      </c>
      <c r="R37" s="6">
        <v>0</v>
      </c>
      <c r="S37" s="6">
        <v>0</v>
      </c>
      <c r="T37" s="6">
        <v>0</v>
      </c>
      <c r="U37" s="6" t="s">
        <v>0</v>
      </c>
      <c r="V37" s="6">
        <v>0</v>
      </c>
      <c r="W37" s="6">
        <v>0</v>
      </c>
    </row>
    <row r="38" spans="1:23" s="6" customFormat="1" x14ac:dyDescent="0.2">
      <c r="A38" s="6" t="s">
        <v>150</v>
      </c>
      <c r="B38" s="6" t="s">
        <v>21</v>
      </c>
      <c r="C38" s="6" t="s">
        <v>223</v>
      </c>
      <c r="D38" s="6" t="s">
        <v>163</v>
      </c>
      <c r="E38" s="7" t="s">
        <v>133</v>
      </c>
      <c r="F38" s="6" t="s">
        <v>0</v>
      </c>
      <c r="G38" s="6" t="s">
        <v>201</v>
      </c>
      <c r="H38" s="6" t="s">
        <v>214</v>
      </c>
      <c r="I38" s="8">
        <v>9.0846833300000007</v>
      </c>
      <c r="J38" s="8">
        <v>-79.663832999999997</v>
      </c>
      <c r="K38" s="6" t="s">
        <v>163</v>
      </c>
      <c r="L38" s="7" t="s">
        <v>133</v>
      </c>
      <c r="M38" s="6" t="s">
        <v>203</v>
      </c>
      <c r="N38" s="6" t="s">
        <v>139</v>
      </c>
      <c r="O38" s="6" t="s">
        <v>151</v>
      </c>
      <c r="P38" s="6">
        <v>1</v>
      </c>
      <c r="Q38" s="6">
        <v>1</v>
      </c>
      <c r="R38" s="6">
        <v>0</v>
      </c>
      <c r="S38" s="6">
        <v>0</v>
      </c>
      <c r="T38" s="6">
        <v>0</v>
      </c>
      <c r="U38" s="6" t="s">
        <v>0</v>
      </c>
      <c r="V38" s="6">
        <v>0</v>
      </c>
      <c r="W38" s="6">
        <v>0</v>
      </c>
    </row>
    <row r="39" spans="1:23" s="6" customFormat="1" x14ac:dyDescent="0.2">
      <c r="A39" s="6" t="s">
        <v>150</v>
      </c>
      <c r="B39" s="6" t="s">
        <v>22</v>
      </c>
      <c r="C39" s="6" t="s">
        <v>222</v>
      </c>
      <c r="D39" s="6" t="s">
        <v>163</v>
      </c>
      <c r="E39" s="7" t="s">
        <v>133</v>
      </c>
      <c r="F39" s="6" t="s">
        <v>23</v>
      </c>
      <c r="G39" s="6" t="s">
        <v>200</v>
      </c>
      <c r="H39" s="6" t="s">
        <v>219</v>
      </c>
      <c r="I39" s="8">
        <v>9.1275333300000003</v>
      </c>
      <c r="J39" s="8">
        <v>-79.859016999999994</v>
      </c>
      <c r="K39" s="6" t="s">
        <v>160</v>
      </c>
      <c r="L39" s="7" t="s">
        <v>135</v>
      </c>
      <c r="M39" s="6" t="s">
        <v>137</v>
      </c>
      <c r="N39" s="6" t="s">
        <v>140</v>
      </c>
      <c r="O39" s="6" t="s">
        <v>151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 t="s">
        <v>0</v>
      </c>
      <c r="V39" s="6">
        <v>0</v>
      </c>
      <c r="W39" s="6">
        <v>0</v>
      </c>
    </row>
    <row r="40" spans="1:23" s="6" customFormat="1" x14ac:dyDescent="0.2">
      <c r="A40" s="6" t="s">
        <v>150</v>
      </c>
      <c r="B40" s="6" t="s">
        <v>24</v>
      </c>
      <c r="C40" s="6" t="s">
        <v>222</v>
      </c>
      <c r="D40" s="6" t="s">
        <v>163</v>
      </c>
      <c r="E40" s="7" t="s">
        <v>133</v>
      </c>
      <c r="F40" s="6" t="s">
        <v>25</v>
      </c>
      <c r="G40" s="6" t="s">
        <v>201</v>
      </c>
      <c r="H40" s="6" t="s">
        <v>214</v>
      </c>
      <c r="I40" s="8">
        <v>9.0846833300000007</v>
      </c>
      <c r="J40" s="8">
        <v>-79.663832999999997</v>
      </c>
      <c r="K40" s="6" t="s">
        <v>163</v>
      </c>
      <c r="L40" s="7" t="s">
        <v>133</v>
      </c>
      <c r="M40" s="6" t="s">
        <v>203</v>
      </c>
      <c r="N40" s="6" t="s">
        <v>140</v>
      </c>
      <c r="O40" s="6" t="s">
        <v>151</v>
      </c>
      <c r="P40" s="6">
        <v>22</v>
      </c>
      <c r="Q40" s="6">
        <v>13</v>
      </c>
      <c r="R40" s="6">
        <v>4</v>
      </c>
      <c r="S40" s="6">
        <v>1</v>
      </c>
      <c r="T40" s="6">
        <v>3</v>
      </c>
      <c r="U40" s="6">
        <v>0.25</v>
      </c>
      <c r="V40" s="6">
        <v>1</v>
      </c>
      <c r="W40" s="6">
        <v>0</v>
      </c>
    </row>
    <row r="41" spans="1:23" s="6" customFormat="1" x14ac:dyDescent="0.2">
      <c r="A41" s="6" t="s">
        <v>150</v>
      </c>
      <c r="B41" s="6" t="s">
        <v>26</v>
      </c>
      <c r="C41" s="6" t="s">
        <v>222</v>
      </c>
      <c r="D41" s="6" t="s">
        <v>163</v>
      </c>
      <c r="E41" s="7" t="s">
        <v>133</v>
      </c>
      <c r="F41" s="6" t="s">
        <v>27</v>
      </c>
      <c r="G41" s="6" t="s">
        <v>200</v>
      </c>
      <c r="H41" s="6" t="s">
        <v>219</v>
      </c>
      <c r="I41" s="8">
        <v>9.1275333300000003</v>
      </c>
      <c r="J41" s="8">
        <v>-79.859016999999994</v>
      </c>
      <c r="K41" s="6" t="s">
        <v>160</v>
      </c>
      <c r="L41" s="7" t="s">
        <v>135</v>
      </c>
      <c r="M41" s="6" t="s">
        <v>137</v>
      </c>
      <c r="N41" s="6" t="s">
        <v>140</v>
      </c>
      <c r="O41" s="6" t="s">
        <v>151</v>
      </c>
      <c r="P41" s="6">
        <v>7</v>
      </c>
      <c r="Q41" s="6">
        <v>6</v>
      </c>
      <c r="R41" s="6">
        <v>1</v>
      </c>
      <c r="S41" s="6">
        <v>1</v>
      </c>
      <c r="T41" s="6">
        <v>0</v>
      </c>
      <c r="U41" s="6">
        <v>1</v>
      </c>
      <c r="V41" s="6">
        <v>1</v>
      </c>
      <c r="W41" s="6">
        <v>0</v>
      </c>
    </row>
    <row r="42" spans="1:23" x14ac:dyDescent="0.2">
      <c r="A42" s="6" t="s">
        <v>150</v>
      </c>
      <c r="B42" s="6" t="s">
        <v>26</v>
      </c>
      <c r="C42" s="6" t="s">
        <v>222</v>
      </c>
      <c r="D42" s="6" t="s">
        <v>163</v>
      </c>
      <c r="E42" s="7" t="s">
        <v>133</v>
      </c>
      <c r="F42" s="6" t="s">
        <v>27</v>
      </c>
      <c r="G42" s="6" t="s">
        <v>200</v>
      </c>
      <c r="H42" s="6" t="s">
        <v>219</v>
      </c>
      <c r="I42" s="8">
        <v>9.1275333300000003</v>
      </c>
      <c r="J42" s="8">
        <v>-79.859016999999994</v>
      </c>
      <c r="K42" s="6" t="s">
        <v>160</v>
      </c>
      <c r="L42" s="7" t="s">
        <v>135</v>
      </c>
      <c r="M42" s="6" t="s">
        <v>137</v>
      </c>
      <c r="N42" s="6" t="s">
        <v>140</v>
      </c>
      <c r="O42" s="6" t="s">
        <v>151</v>
      </c>
      <c r="P42" s="6">
        <v>5</v>
      </c>
      <c r="Q42" s="6">
        <v>3</v>
      </c>
      <c r="R42" s="6">
        <v>1</v>
      </c>
      <c r="S42" s="6">
        <v>0</v>
      </c>
      <c r="T42" s="6">
        <v>1</v>
      </c>
      <c r="U42" s="6">
        <v>0</v>
      </c>
      <c r="V42" s="6">
        <v>0</v>
      </c>
      <c r="W42" s="6">
        <v>0</v>
      </c>
    </row>
    <row r="43" spans="1:23" x14ac:dyDescent="0.2">
      <c r="A43" s="6" t="s">
        <v>150</v>
      </c>
      <c r="B43" s="6" t="s">
        <v>68</v>
      </c>
      <c r="C43" s="6" t="s">
        <v>224</v>
      </c>
      <c r="D43" s="6" t="s">
        <v>163</v>
      </c>
      <c r="E43" s="7" t="s">
        <v>133</v>
      </c>
      <c r="F43" s="6" t="s">
        <v>69</v>
      </c>
      <c r="G43" s="6" t="s">
        <v>200</v>
      </c>
      <c r="H43" s="6" t="s">
        <v>219</v>
      </c>
      <c r="I43" s="8">
        <v>9.1275333300000003</v>
      </c>
      <c r="J43" s="8">
        <v>-79.859016999999994</v>
      </c>
      <c r="K43" s="6" t="s">
        <v>160</v>
      </c>
      <c r="L43" s="7" t="s">
        <v>135</v>
      </c>
      <c r="M43" s="6" t="s">
        <v>137</v>
      </c>
      <c r="N43" s="6" t="s">
        <v>140</v>
      </c>
      <c r="O43" s="6" t="s">
        <v>151</v>
      </c>
      <c r="P43" s="6">
        <v>24</v>
      </c>
      <c r="Q43" s="6">
        <v>20</v>
      </c>
      <c r="R43" s="6">
        <v>9</v>
      </c>
      <c r="S43" s="6">
        <v>5</v>
      </c>
      <c r="T43" s="6">
        <v>4</v>
      </c>
      <c r="U43" s="6">
        <v>0.55555555599999995</v>
      </c>
      <c r="V43" s="6">
        <v>5</v>
      </c>
      <c r="W43" s="6">
        <v>0</v>
      </c>
    </row>
    <row r="44" spans="1:23" x14ac:dyDescent="0.2">
      <c r="A44" s="6" t="s">
        <v>150</v>
      </c>
      <c r="B44" s="6" t="s">
        <v>70</v>
      </c>
      <c r="C44" s="6" t="s">
        <v>224</v>
      </c>
      <c r="D44" s="6" t="s">
        <v>163</v>
      </c>
      <c r="E44" s="7" t="s">
        <v>133</v>
      </c>
      <c r="F44" s="6" t="s">
        <v>71</v>
      </c>
      <c r="G44" s="6" t="s">
        <v>201</v>
      </c>
      <c r="H44" s="6" t="s">
        <v>218</v>
      </c>
      <c r="I44" s="8">
        <v>9.3388833299999998</v>
      </c>
      <c r="J44" s="8">
        <v>-79.985183000000006</v>
      </c>
      <c r="K44" s="6" t="s">
        <v>163</v>
      </c>
      <c r="L44" s="7" t="s">
        <v>133</v>
      </c>
      <c r="M44" s="6" t="s">
        <v>203</v>
      </c>
      <c r="N44" s="6" t="s">
        <v>140</v>
      </c>
      <c r="O44" s="6" t="s">
        <v>151</v>
      </c>
      <c r="P44" s="6">
        <v>14</v>
      </c>
      <c r="Q44" s="6">
        <v>10</v>
      </c>
      <c r="R44" s="6">
        <v>5</v>
      </c>
      <c r="S44" s="6">
        <v>1</v>
      </c>
      <c r="T44" s="6">
        <v>4</v>
      </c>
      <c r="U44" s="6">
        <v>0.2</v>
      </c>
      <c r="V44" s="6">
        <v>1</v>
      </c>
      <c r="W44" s="6">
        <v>0</v>
      </c>
    </row>
    <row r="45" spans="1:23" x14ac:dyDescent="0.2">
      <c r="A45" s="6" t="s">
        <v>150</v>
      </c>
      <c r="B45" s="6" t="s">
        <v>72</v>
      </c>
      <c r="C45" s="6" t="s">
        <v>224</v>
      </c>
      <c r="D45" s="6" t="s">
        <v>163</v>
      </c>
      <c r="E45" s="7" t="s">
        <v>133</v>
      </c>
      <c r="F45" s="6" t="s">
        <v>73</v>
      </c>
      <c r="G45" s="6" t="s">
        <v>161</v>
      </c>
      <c r="H45" s="6" t="s">
        <v>216</v>
      </c>
      <c r="I45" s="8">
        <v>9.1591833299999994</v>
      </c>
      <c r="J45" s="8">
        <v>-79.745249999999999</v>
      </c>
      <c r="K45" s="6" t="s">
        <v>160</v>
      </c>
      <c r="L45" s="7" t="s">
        <v>135</v>
      </c>
      <c r="M45" s="6" t="s">
        <v>176</v>
      </c>
      <c r="N45" s="6" t="s">
        <v>140</v>
      </c>
      <c r="O45" s="6" t="s">
        <v>151</v>
      </c>
      <c r="P45" s="6">
        <v>1</v>
      </c>
      <c r="Q45" s="6">
        <v>0</v>
      </c>
      <c r="R45" s="6">
        <v>0</v>
      </c>
      <c r="S45" s="6">
        <v>0</v>
      </c>
      <c r="T45" s="6">
        <v>0</v>
      </c>
      <c r="U45" s="6" t="s">
        <v>0</v>
      </c>
      <c r="V45" s="6">
        <v>0</v>
      </c>
      <c r="W45" s="6">
        <v>0</v>
      </c>
    </row>
    <row r="46" spans="1:23" x14ac:dyDescent="0.2">
      <c r="A46" s="6" t="s">
        <v>150</v>
      </c>
      <c r="B46" s="6" t="s">
        <v>72</v>
      </c>
      <c r="C46" s="6" t="s">
        <v>224</v>
      </c>
      <c r="D46" s="6" t="s">
        <v>163</v>
      </c>
      <c r="E46" s="7" t="s">
        <v>133</v>
      </c>
      <c r="F46" s="6" t="s">
        <v>73</v>
      </c>
      <c r="G46" s="6" t="s">
        <v>161</v>
      </c>
      <c r="H46" s="6" t="s">
        <v>216</v>
      </c>
      <c r="I46" s="8">
        <v>9.1591833299999994</v>
      </c>
      <c r="J46" s="8">
        <v>-79.745249999999999</v>
      </c>
      <c r="K46" s="6" t="s">
        <v>160</v>
      </c>
      <c r="L46" s="7" t="s">
        <v>135</v>
      </c>
      <c r="M46" s="6" t="s">
        <v>176</v>
      </c>
      <c r="N46" s="6" t="s">
        <v>140</v>
      </c>
      <c r="O46" s="6" t="s">
        <v>151</v>
      </c>
      <c r="P46" s="6">
        <v>14</v>
      </c>
      <c r="Q46" s="6">
        <v>13</v>
      </c>
      <c r="R46" s="6">
        <v>3</v>
      </c>
      <c r="S46" s="6">
        <v>0</v>
      </c>
      <c r="T46" s="6">
        <v>3</v>
      </c>
      <c r="U46" s="6">
        <v>0</v>
      </c>
      <c r="V46" s="6">
        <v>0</v>
      </c>
      <c r="W46" s="6">
        <v>0</v>
      </c>
    </row>
    <row r="47" spans="1:23" x14ac:dyDescent="0.2">
      <c r="A47" s="6" t="s">
        <v>150</v>
      </c>
      <c r="B47" s="6" t="s">
        <v>74</v>
      </c>
      <c r="C47" s="6" t="s">
        <v>223</v>
      </c>
      <c r="D47" s="6" t="s">
        <v>163</v>
      </c>
      <c r="E47" s="7" t="s">
        <v>133</v>
      </c>
      <c r="F47" s="6" t="s">
        <v>75</v>
      </c>
      <c r="G47" s="6" t="s">
        <v>200</v>
      </c>
      <c r="H47" s="6" t="s">
        <v>219</v>
      </c>
      <c r="I47" s="8">
        <v>9.1275333300000003</v>
      </c>
      <c r="J47" s="8">
        <v>-79.859016999999994</v>
      </c>
      <c r="K47" s="6" t="s">
        <v>160</v>
      </c>
      <c r="L47" s="7" t="s">
        <v>135</v>
      </c>
      <c r="M47" s="6" t="s">
        <v>137</v>
      </c>
      <c r="N47" s="6" t="s">
        <v>140</v>
      </c>
      <c r="O47" s="6" t="s">
        <v>151</v>
      </c>
      <c r="P47" s="6">
        <v>18</v>
      </c>
      <c r="Q47" s="6">
        <v>10</v>
      </c>
      <c r="R47" s="6">
        <v>5</v>
      </c>
      <c r="S47" s="6">
        <v>1</v>
      </c>
      <c r="T47" s="6">
        <v>4</v>
      </c>
      <c r="U47" s="6">
        <v>0.2</v>
      </c>
      <c r="V47" s="6">
        <v>1</v>
      </c>
      <c r="W47" s="6">
        <v>0</v>
      </c>
    </row>
    <row r="48" spans="1:23" x14ac:dyDescent="0.2">
      <c r="A48" s="6" t="s">
        <v>150</v>
      </c>
      <c r="B48" s="6" t="s">
        <v>76</v>
      </c>
      <c r="C48" s="6" t="s">
        <v>223</v>
      </c>
      <c r="D48" s="6" t="s">
        <v>163</v>
      </c>
      <c r="E48" s="7" t="s">
        <v>133</v>
      </c>
      <c r="F48" s="6" t="s">
        <v>0</v>
      </c>
      <c r="G48" s="6" t="s">
        <v>201</v>
      </c>
      <c r="H48" s="8" t="s">
        <v>215</v>
      </c>
      <c r="I48" s="8">
        <v>9.1204000000000001</v>
      </c>
      <c r="J48" s="8">
        <v>-79.7012</v>
      </c>
      <c r="K48" s="6" t="s">
        <v>163</v>
      </c>
      <c r="L48" s="7" t="s">
        <v>133</v>
      </c>
      <c r="M48" s="6" t="s">
        <v>203</v>
      </c>
      <c r="N48" s="6" t="s">
        <v>139</v>
      </c>
      <c r="O48" s="6" t="s">
        <v>151</v>
      </c>
      <c r="P48" s="6">
        <v>9</v>
      </c>
      <c r="Q48" s="6">
        <v>8</v>
      </c>
      <c r="R48" s="6">
        <v>3</v>
      </c>
      <c r="S48" s="6">
        <v>0</v>
      </c>
      <c r="T48" s="6">
        <v>3</v>
      </c>
      <c r="U48" s="6">
        <v>0</v>
      </c>
      <c r="V48" s="6">
        <v>0</v>
      </c>
      <c r="W48" s="6">
        <v>0</v>
      </c>
    </row>
    <row r="49" spans="1:23" x14ac:dyDescent="0.2">
      <c r="A49" s="6" t="s">
        <v>150</v>
      </c>
      <c r="B49" s="6" t="s">
        <v>77</v>
      </c>
      <c r="C49" s="6" t="s">
        <v>223</v>
      </c>
      <c r="D49" s="6" t="s">
        <v>163</v>
      </c>
      <c r="E49" s="7" t="s">
        <v>133</v>
      </c>
      <c r="F49" s="6" t="s">
        <v>0</v>
      </c>
      <c r="G49" s="6" t="s">
        <v>201</v>
      </c>
      <c r="H49" s="8" t="s">
        <v>215</v>
      </c>
      <c r="I49" s="8">
        <v>9.1204000000000001</v>
      </c>
      <c r="J49" s="8">
        <v>-79.7012</v>
      </c>
      <c r="K49" s="6" t="s">
        <v>163</v>
      </c>
      <c r="L49" s="7" t="s">
        <v>133</v>
      </c>
      <c r="M49" s="6" t="s">
        <v>203</v>
      </c>
      <c r="N49" s="6" t="s">
        <v>139</v>
      </c>
      <c r="O49" s="6" t="s">
        <v>151</v>
      </c>
      <c r="P49" s="6">
        <v>13</v>
      </c>
      <c r="Q49" s="6">
        <v>10</v>
      </c>
      <c r="R49" s="6">
        <v>4</v>
      </c>
      <c r="S49" s="6">
        <v>1</v>
      </c>
      <c r="T49" s="6">
        <v>3</v>
      </c>
      <c r="U49" s="6">
        <v>0.25</v>
      </c>
      <c r="V49" s="6">
        <v>1</v>
      </c>
      <c r="W49" s="6">
        <v>0</v>
      </c>
    </row>
    <row r="50" spans="1:23" x14ac:dyDescent="0.2">
      <c r="A50" s="6" t="s">
        <v>150</v>
      </c>
      <c r="B50" s="6" t="s">
        <v>130</v>
      </c>
      <c r="C50" s="6" t="s">
        <v>223</v>
      </c>
      <c r="D50" s="6" t="s">
        <v>163</v>
      </c>
      <c r="E50" s="7" t="s">
        <v>133</v>
      </c>
      <c r="F50" s="6" t="s">
        <v>0</v>
      </c>
      <c r="G50" s="6" t="s">
        <v>201</v>
      </c>
      <c r="H50" s="8" t="s">
        <v>215</v>
      </c>
      <c r="I50" s="8">
        <v>9.1204000000000001</v>
      </c>
      <c r="J50" s="8">
        <v>-79.7012</v>
      </c>
      <c r="K50" s="6" t="s">
        <v>163</v>
      </c>
      <c r="L50" s="7" t="s">
        <v>133</v>
      </c>
      <c r="M50" s="6" t="s">
        <v>203</v>
      </c>
      <c r="N50" s="6" t="s">
        <v>139</v>
      </c>
      <c r="O50" s="6" t="s">
        <v>151</v>
      </c>
      <c r="P50" s="6">
        <v>2</v>
      </c>
      <c r="Q50" s="6">
        <v>2</v>
      </c>
      <c r="R50" s="6">
        <v>1</v>
      </c>
      <c r="S50" s="6">
        <v>1</v>
      </c>
      <c r="T50" s="6">
        <v>0</v>
      </c>
      <c r="U50" s="6">
        <v>1</v>
      </c>
      <c r="V50" s="6">
        <v>1</v>
      </c>
      <c r="W50" s="6">
        <v>0</v>
      </c>
    </row>
    <row r="51" spans="1:23" x14ac:dyDescent="0.2">
      <c r="A51" t="s">
        <v>152</v>
      </c>
      <c r="B51" t="s">
        <v>85</v>
      </c>
      <c r="C51" t="s">
        <v>223</v>
      </c>
      <c r="D51" t="s">
        <v>200</v>
      </c>
      <c r="E51" s="2" t="s">
        <v>135</v>
      </c>
      <c r="F51" t="s">
        <v>86</v>
      </c>
      <c r="G51" t="s">
        <v>161</v>
      </c>
      <c r="H51" t="s">
        <v>216</v>
      </c>
      <c r="I51" s="5">
        <v>9.1591833299999994</v>
      </c>
      <c r="J51" s="5">
        <v>-79.745249999999999</v>
      </c>
      <c r="K51" t="s">
        <v>163</v>
      </c>
      <c r="L51" s="2" t="s">
        <v>136</v>
      </c>
      <c r="M51" t="s">
        <v>206</v>
      </c>
      <c r="N51" t="s">
        <v>140</v>
      </c>
      <c r="O51" t="s">
        <v>151</v>
      </c>
      <c r="P51">
        <v>6</v>
      </c>
      <c r="Q51">
        <v>6</v>
      </c>
      <c r="R51">
        <v>3</v>
      </c>
      <c r="S51">
        <v>3</v>
      </c>
      <c r="T51">
        <v>0</v>
      </c>
      <c r="U51">
        <v>1</v>
      </c>
      <c r="V51">
        <v>1</v>
      </c>
      <c r="W51">
        <v>2</v>
      </c>
    </row>
    <row r="52" spans="1:23" x14ac:dyDescent="0.2">
      <c r="A52" t="s">
        <v>152</v>
      </c>
      <c r="B52" t="s">
        <v>85</v>
      </c>
      <c r="C52" t="s">
        <v>223</v>
      </c>
      <c r="D52" t="s">
        <v>200</v>
      </c>
      <c r="E52" s="2" t="s">
        <v>135</v>
      </c>
      <c r="F52" t="s">
        <v>86</v>
      </c>
      <c r="G52" t="s">
        <v>161</v>
      </c>
      <c r="H52" t="s">
        <v>216</v>
      </c>
      <c r="I52" s="5">
        <v>9.1591833299999994</v>
      </c>
      <c r="J52" s="5">
        <v>-79.745249999999999</v>
      </c>
      <c r="K52" t="s">
        <v>163</v>
      </c>
      <c r="L52" s="2" t="s">
        <v>136</v>
      </c>
      <c r="M52" t="s">
        <v>206</v>
      </c>
      <c r="N52" t="s">
        <v>140</v>
      </c>
      <c r="O52" t="s">
        <v>151</v>
      </c>
      <c r="P52">
        <v>6</v>
      </c>
      <c r="Q52">
        <v>6</v>
      </c>
      <c r="R52">
        <v>3</v>
      </c>
      <c r="S52">
        <v>3</v>
      </c>
      <c r="T52">
        <v>0</v>
      </c>
      <c r="U52">
        <v>1</v>
      </c>
      <c r="V52">
        <v>1</v>
      </c>
      <c r="W52">
        <v>2</v>
      </c>
    </row>
    <row r="53" spans="1:23" x14ac:dyDescent="0.2">
      <c r="A53" t="s">
        <v>152</v>
      </c>
      <c r="B53" t="s">
        <v>85</v>
      </c>
      <c r="C53" t="s">
        <v>223</v>
      </c>
      <c r="D53" t="s">
        <v>200</v>
      </c>
      <c r="E53" s="2" t="s">
        <v>135</v>
      </c>
      <c r="F53" t="s">
        <v>86</v>
      </c>
      <c r="G53" t="s">
        <v>161</v>
      </c>
      <c r="H53" t="s">
        <v>216</v>
      </c>
      <c r="I53" s="5">
        <v>9.1591833299999994</v>
      </c>
      <c r="J53" s="5">
        <v>-79.745249999999999</v>
      </c>
      <c r="K53" t="s">
        <v>163</v>
      </c>
      <c r="L53" s="2" t="s">
        <v>136</v>
      </c>
      <c r="M53" t="s">
        <v>206</v>
      </c>
      <c r="N53" t="s">
        <v>140</v>
      </c>
      <c r="O53" t="s">
        <v>151</v>
      </c>
      <c r="P53">
        <v>6</v>
      </c>
      <c r="Q53">
        <v>6</v>
      </c>
      <c r="R53">
        <v>3</v>
      </c>
      <c r="S53">
        <v>3</v>
      </c>
      <c r="T53">
        <v>0</v>
      </c>
      <c r="U53">
        <v>1</v>
      </c>
      <c r="V53">
        <v>1</v>
      </c>
      <c r="W53">
        <v>2</v>
      </c>
    </row>
    <row r="54" spans="1:23" x14ac:dyDescent="0.2">
      <c r="A54" t="s">
        <v>153</v>
      </c>
      <c r="B54" t="s">
        <v>81</v>
      </c>
      <c r="C54" t="s">
        <v>222</v>
      </c>
      <c r="D54" t="s">
        <v>200</v>
      </c>
      <c r="E54" s="2" t="s">
        <v>135</v>
      </c>
      <c r="F54" t="s">
        <v>82</v>
      </c>
      <c r="G54" t="s">
        <v>161</v>
      </c>
      <c r="H54" t="s">
        <v>216</v>
      </c>
      <c r="I54" s="5">
        <v>9.1591833299999994</v>
      </c>
      <c r="J54" s="5">
        <v>-79.745249999999999</v>
      </c>
      <c r="K54" t="s">
        <v>160</v>
      </c>
      <c r="L54" s="2" t="s">
        <v>135</v>
      </c>
      <c r="M54" t="s">
        <v>164</v>
      </c>
      <c r="N54" t="s">
        <v>140</v>
      </c>
      <c r="O54" t="s">
        <v>142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0</v>
      </c>
      <c r="V54">
        <v>0</v>
      </c>
      <c r="W54">
        <v>0</v>
      </c>
    </row>
    <row r="55" spans="1:23" x14ac:dyDescent="0.2">
      <c r="A55" t="s">
        <v>153</v>
      </c>
      <c r="B55" t="s">
        <v>89</v>
      </c>
      <c r="C55" t="s">
        <v>224</v>
      </c>
      <c r="D55" t="s">
        <v>200</v>
      </c>
      <c r="E55" s="2" t="s">
        <v>135</v>
      </c>
      <c r="F55" t="s">
        <v>90</v>
      </c>
      <c r="G55" t="s">
        <v>161</v>
      </c>
      <c r="H55" t="s">
        <v>216</v>
      </c>
      <c r="I55" s="5">
        <v>9.1591833299999994</v>
      </c>
      <c r="J55" s="5">
        <v>-79.745249999999999</v>
      </c>
      <c r="K55" t="s">
        <v>160</v>
      </c>
      <c r="L55" s="2" t="s">
        <v>135</v>
      </c>
      <c r="M55" t="s">
        <v>164</v>
      </c>
      <c r="N55" t="s">
        <v>140</v>
      </c>
      <c r="O55" t="s">
        <v>142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0</v>
      </c>
      <c r="V55">
        <v>0</v>
      </c>
      <c r="W55">
        <v>0</v>
      </c>
    </row>
    <row r="56" spans="1:23" x14ac:dyDescent="0.2">
      <c r="A56" t="s">
        <v>153</v>
      </c>
      <c r="B56" t="s">
        <v>91</v>
      </c>
      <c r="C56" t="s">
        <v>222</v>
      </c>
      <c r="D56" t="s">
        <v>200</v>
      </c>
      <c r="E56" s="2" t="s">
        <v>135</v>
      </c>
      <c r="F56" t="s">
        <v>92</v>
      </c>
      <c r="G56" t="s">
        <v>161</v>
      </c>
      <c r="H56" t="s">
        <v>216</v>
      </c>
      <c r="I56" s="5">
        <v>9.1591833299999994</v>
      </c>
      <c r="J56" s="5">
        <v>-79.745249999999999</v>
      </c>
      <c r="K56" t="s">
        <v>160</v>
      </c>
      <c r="L56" s="2" t="s">
        <v>135</v>
      </c>
      <c r="M56" t="s">
        <v>164</v>
      </c>
      <c r="N56" t="s">
        <v>140</v>
      </c>
      <c r="O56" t="s">
        <v>142</v>
      </c>
      <c r="P56">
        <v>16</v>
      </c>
      <c r="Q56">
        <v>2</v>
      </c>
      <c r="R56">
        <v>0</v>
      </c>
      <c r="S56">
        <v>0</v>
      </c>
      <c r="T56">
        <v>0</v>
      </c>
      <c r="U56" t="s">
        <v>0</v>
      </c>
      <c r="V56">
        <v>0</v>
      </c>
      <c r="W56">
        <v>0</v>
      </c>
    </row>
    <row r="57" spans="1:23" x14ac:dyDescent="0.2">
      <c r="A57" t="s">
        <v>153</v>
      </c>
      <c r="B57" t="s">
        <v>96</v>
      </c>
      <c r="C57" t="s">
        <v>222</v>
      </c>
      <c r="D57" t="s">
        <v>200</v>
      </c>
      <c r="E57" s="2" t="s">
        <v>135</v>
      </c>
      <c r="F57" t="s">
        <v>97</v>
      </c>
      <c r="G57" t="s">
        <v>161</v>
      </c>
      <c r="H57" t="s">
        <v>220</v>
      </c>
      <c r="I57" s="5" t="s">
        <v>162</v>
      </c>
      <c r="J57" s="5" t="s">
        <v>162</v>
      </c>
      <c r="K57" t="s">
        <v>160</v>
      </c>
      <c r="L57" s="2" t="s">
        <v>135</v>
      </c>
      <c r="M57" t="s">
        <v>164</v>
      </c>
      <c r="N57" t="s">
        <v>140</v>
      </c>
      <c r="O57" t="s">
        <v>142</v>
      </c>
      <c r="P57">
        <v>12</v>
      </c>
      <c r="Q57">
        <v>10</v>
      </c>
      <c r="R57">
        <v>0</v>
      </c>
      <c r="S57">
        <v>0</v>
      </c>
      <c r="T57">
        <v>0</v>
      </c>
      <c r="U57" t="s">
        <v>0</v>
      </c>
      <c r="V57">
        <v>0</v>
      </c>
      <c r="W57">
        <v>0</v>
      </c>
    </row>
    <row r="58" spans="1:23" x14ac:dyDescent="0.2">
      <c r="A58" t="s">
        <v>153</v>
      </c>
      <c r="B58" t="s">
        <v>98</v>
      </c>
      <c r="C58" t="s">
        <v>222</v>
      </c>
      <c r="D58" t="s">
        <v>200</v>
      </c>
      <c r="E58" s="2" t="s">
        <v>135</v>
      </c>
      <c r="F58" t="s">
        <v>99</v>
      </c>
      <c r="G58" t="s">
        <v>161</v>
      </c>
      <c r="H58" t="s">
        <v>220</v>
      </c>
      <c r="I58" s="5" t="s">
        <v>162</v>
      </c>
      <c r="J58" s="5" t="s">
        <v>162</v>
      </c>
      <c r="K58" t="s">
        <v>160</v>
      </c>
      <c r="L58" s="2" t="s">
        <v>135</v>
      </c>
      <c r="M58" t="s">
        <v>164</v>
      </c>
      <c r="N58" t="s">
        <v>140</v>
      </c>
      <c r="O58" t="s">
        <v>142</v>
      </c>
      <c r="P58">
        <v>4</v>
      </c>
      <c r="Q58">
        <v>2</v>
      </c>
      <c r="R58">
        <v>0</v>
      </c>
      <c r="S58">
        <v>0</v>
      </c>
      <c r="T58">
        <v>0</v>
      </c>
      <c r="U58" t="s">
        <v>0</v>
      </c>
      <c r="V58">
        <v>0</v>
      </c>
      <c r="W58">
        <v>0</v>
      </c>
    </row>
    <row r="59" spans="1:23" x14ac:dyDescent="0.2">
      <c r="A59" t="s">
        <v>153</v>
      </c>
      <c r="B59" t="s">
        <v>116</v>
      </c>
      <c r="C59" t="s">
        <v>222</v>
      </c>
      <c r="D59" t="s">
        <v>200</v>
      </c>
      <c r="E59" s="2" t="s">
        <v>135</v>
      </c>
      <c r="F59" t="s">
        <v>18</v>
      </c>
      <c r="G59" t="s">
        <v>161</v>
      </c>
      <c r="H59" t="s">
        <v>216</v>
      </c>
      <c r="I59" s="5">
        <v>9.1591833299999994</v>
      </c>
      <c r="J59" s="5">
        <v>-79.745249999999999</v>
      </c>
      <c r="K59" t="s">
        <v>160</v>
      </c>
      <c r="L59" s="2" t="s">
        <v>135</v>
      </c>
      <c r="M59" t="s">
        <v>164</v>
      </c>
      <c r="N59" t="s">
        <v>140</v>
      </c>
      <c r="O59" t="s">
        <v>142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0</v>
      </c>
      <c r="V59">
        <v>0</v>
      </c>
      <c r="W59">
        <v>0</v>
      </c>
    </row>
    <row r="60" spans="1:23" x14ac:dyDescent="0.2">
      <c r="A60" t="s">
        <v>154</v>
      </c>
      <c r="B60" t="s">
        <v>78</v>
      </c>
      <c r="C60" t="s">
        <v>224</v>
      </c>
      <c r="D60" t="s">
        <v>200</v>
      </c>
      <c r="E60" s="2" t="s">
        <v>135</v>
      </c>
      <c r="F60" t="s">
        <v>79</v>
      </c>
      <c r="G60" t="s">
        <v>200</v>
      </c>
      <c r="H60" t="s">
        <v>219</v>
      </c>
      <c r="I60" s="5">
        <v>9.1275333300000003</v>
      </c>
      <c r="J60" s="5">
        <v>-79.859016999999994</v>
      </c>
      <c r="K60" t="s">
        <v>160</v>
      </c>
      <c r="L60" s="2" t="s">
        <v>135</v>
      </c>
      <c r="M60" t="s">
        <v>164</v>
      </c>
      <c r="N60" t="s">
        <v>140</v>
      </c>
      <c r="O60" t="s">
        <v>142</v>
      </c>
      <c r="P60">
        <v>20</v>
      </c>
      <c r="Q60">
        <v>15</v>
      </c>
      <c r="R60">
        <v>6</v>
      </c>
      <c r="S60">
        <v>4</v>
      </c>
      <c r="T60">
        <v>2</v>
      </c>
      <c r="U60">
        <v>0.66666666699999999</v>
      </c>
      <c r="V60">
        <v>0</v>
      </c>
      <c r="W60">
        <v>4</v>
      </c>
    </row>
    <row r="61" spans="1:23" x14ac:dyDescent="0.2">
      <c r="A61" t="s">
        <v>154</v>
      </c>
      <c r="B61" t="s">
        <v>80</v>
      </c>
      <c r="C61" t="s">
        <v>224</v>
      </c>
      <c r="D61" t="s">
        <v>200</v>
      </c>
      <c r="E61" s="2" t="s">
        <v>135</v>
      </c>
      <c r="F61" t="s">
        <v>25</v>
      </c>
      <c r="G61" t="s">
        <v>201</v>
      </c>
      <c r="H61" t="s">
        <v>214</v>
      </c>
      <c r="I61" s="5">
        <v>9.0846833300000007</v>
      </c>
      <c r="J61" s="5">
        <v>-79.663832999999997</v>
      </c>
      <c r="K61" t="s">
        <v>163</v>
      </c>
      <c r="L61" s="2" t="s">
        <v>133</v>
      </c>
      <c r="M61" t="s">
        <v>177</v>
      </c>
      <c r="N61" t="s">
        <v>140</v>
      </c>
      <c r="O61" t="s">
        <v>141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0</v>
      </c>
      <c r="V61">
        <v>0</v>
      </c>
      <c r="W61">
        <v>0</v>
      </c>
    </row>
    <row r="62" spans="1:23" x14ac:dyDescent="0.2">
      <c r="A62" t="s">
        <v>154</v>
      </c>
      <c r="B62" t="s">
        <v>84</v>
      </c>
      <c r="C62" t="s">
        <v>222</v>
      </c>
      <c r="D62" t="s">
        <v>200</v>
      </c>
      <c r="E62" s="2" t="s">
        <v>135</v>
      </c>
      <c r="F62" t="s">
        <v>25</v>
      </c>
      <c r="G62" t="s">
        <v>201</v>
      </c>
      <c r="H62" t="s">
        <v>214</v>
      </c>
      <c r="I62" s="5">
        <v>9.0846833300000007</v>
      </c>
      <c r="J62" s="5">
        <v>-79.663832999999997</v>
      </c>
      <c r="K62" t="s">
        <v>163</v>
      </c>
      <c r="L62" s="2" t="s">
        <v>133</v>
      </c>
      <c r="M62" t="s">
        <v>177</v>
      </c>
      <c r="N62" t="s">
        <v>140</v>
      </c>
      <c r="O62" t="s">
        <v>141</v>
      </c>
      <c r="P62">
        <v>18</v>
      </c>
      <c r="Q62">
        <v>14</v>
      </c>
      <c r="R62">
        <v>10</v>
      </c>
      <c r="S62">
        <v>8</v>
      </c>
      <c r="T62">
        <v>2</v>
      </c>
      <c r="U62">
        <v>0.8</v>
      </c>
      <c r="V62">
        <v>8</v>
      </c>
      <c r="W62">
        <v>0</v>
      </c>
    </row>
    <row r="63" spans="1:23" x14ac:dyDescent="0.2">
      <c r="A63" t="s">
        <v>154</v>
      </c>
      <c r="B63" t="s">
        <v>87</v>
      </c>
      <c r="C63" t="s">
        <v>224</v>
      </c>
      <c r="D63" t="s">
        <v>200</v>
      </c>
      <c r="E63" s="2" t="s">
        <v>135</v>
      </c>
      <c r="F63" t="s">
        <v>88</v>
      </c>
      <c r="G63" t="s">
        <v>201</v>
      </c>
      <c r="H63" t="s">
        <v>214</v>
      </c>
      <c r="I63" s="5">
        <v>9.0846833300000007</v>
      </c>
      <c r="J63" s="5">
        <v>-79.663832999999997</v>
      </c>
      <c r="K63" t="s">
        <v>163</v>
      </c>
      <c r="L63" s="2" t="s">
        <v>133</v>
      </c>
      <c r="M63" t="s">
        <v>177</v>
      </c>
      <c r="N63" t="s">
        <v>140</v>
      </c>
      <c r="O63" t="s">
        <v>141</v>
      </c>
      <c r="P63">
        <v>22</v>
      </c>
      <c r="Q63">
        <v>16</v>
      </c>
      <c r="R63">
        <v>6</v>
      </c>
      <c r="S63">
        <v>3</v>
      </c>
      <c r="T63">
        <v>3</v>
      </c>
      <c r="U63">
        <v>0.5</v>
      </c>
      <c r="V63">
        <v>2</v>
      </c>
      <c r="W63">
        <v>0</v>
      </c>
    </row>
    <row r="64" spans="1:23" x14ac:dyDescent="0.2">
      <c r="A64" t="s">
        <v>154</v>
      </c>
      <c r="B64" t="s">
        <v>104</v>
      </c>
      <c r="C64" t="s">
        <v>222</v>
      </c>
      <c r="D64" t="s">
        <v>200</v>
      </c>
      <c r="E64" s="2" t="s">
        <v>135</v>
      </c>
      <c r="F64" t="s">
        <v>105</v>
      </c>
      <c r="G64" t="s">
        <v>201</v>
      </c>
      <c r="H64" t="s">
        <v>214</v>
      </c>
      <c r="I64" s="5">
        <v>9.0846833300000007</v>
      </c>
      <c r="J64" s="5">
        <v>-79.663832999999997</v>
      </c>
      <c r="K64" t="s">
        <v>163</v>
      </c>
      <c r="L64" s="2" t="s">
        <v>133</v>
      </c>
      <c r="M64" t="s">
        <v>177</v>
      </c>
      <c r="N64" t="s">
        <v>140</v>
      </c>
      <c r="O64" t="s">
        <v>141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0</v>
      </c>
      <c r="V64">
        <v>0</v>
      </c>
      <c r="W64">
        <v>0</v>
      </c>
    </row>
    <row r="65" spans="1:23" x14ac:dyDescent="0.2">
      <c r="A65" t="s">
        <v>154</v>
      </c>
      <c r="B65" t="s">
        <v>106</v>
      </c>
      <c r="C65" t="s">
        <v>223</v>
      </c>
      <c r="D65" t="s">
        <v>200</v>
      </c>
      <c r="E65" s="2" t="s">
        <v>135</v>
      </c>
      <c r="F65" t="s">
        <v>107</v>
      </c>
      <c r="G65" t="s">
        <v>201</v>
      </c>
      <c r="H65" t="s">
        <v>214</v>
      </c>
      <c r="I65" s="5">
        <v>9.0846833300000007</v>
      </c>
      <c r="J65" s="5">
        <v>-79.663832999999997</v>
      </c>
      <c r="K65" t="s">
        <v>163</v>
      </c>
      <c r="L65" s="2" t="s">
        <v>133</v>
      </c>
      <c r="M65" t="s">
        <v>177</v>
      </c>
      <c r="N65" t="s">
        <v>140</v>
      </c>
      <c r="O65" t="s">
        <v>141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0</v>
      </c>
      <c r="V65">
        <v>0</v>
      </c>
      <c r="W65">
        <v>0</v>
      </c>
    </row>
    <row r="66" spans="1:23" x14ac:dyDescent="0.2">
      <c r="A66" t="s">
        <v>154</v>
      </c>
      <c r="B66" t="s">
        <v>108</v>
      </c>
      <c r="C66" t="s">
        <v>223</v>
      </c>
      <c r="D66" t="s">
        <v>200</v>
      </c>
      <c r="E66" s="2" t="s">
        <v>135</v>
      </c>
      <c r="F66" t="s">
        <v>109</v>
      </c>
      <c r="G66" t="s">
        <v>201</v>
      </c>
      <c r="H66" t="s">
        <v>214</v>
      </c>
      <c r="I66" s="5">
        <v>9.0846833300000007</v>
      </c>
      <c r="J66" s="5">
        <v>-79.663832999999997</v>
      </c>
      <c r="K66" t="s">
        <v>163</v>
      </c>
      <c r="L66" s="2" t="s">
        <v>133</v>
      </c>
      <c r="M66" t="s">
        <v>177</v>
      </c>
      <c r="N66" t="s">
        <v>140</v>
      </c>
      <c r="O66" t="s">
        <v>141</v>
      </c>
      <c r="P66">
        <v>6</v>
      </c>
      <c r="Q66">
        <v>2</v>
      </c>
      <c r="R66">
        <v>2</v>
      </c>
      <c r="S66">
        <v>2</v>
      </c>
      <c r="T66">
        <v>0</v>
      </c>
      <c r="U66">
        <v>1</v>
      </c>
      <c r="V66">
        <v>1</v>
      </c>
      <c r="W66">
        <v>0</v>
      </c>
    </row>
    <row r="67" spans="1:23" x14ac:dyDescent="0.2">
      <c r="A67" t="s">
        <v>154</v>
      </c>
      <c r="B67" t="s">
        <v>110</v>
      </c>
      <c r="C67" t="s">
        <v>223</v>
      </c>
      <c r="D67" t="s">
        <v>200</v>
      </c>
      <c r="E67" s="2" t="s">
        <v>135</v>
      </c>
      <c r="F67" t="s">
        <v>111</v>
      </c>
      <c r="G67" t="s">
        <v>200</v>
      </c>
      <c r="H67" t="s">
        <v>219</v>
      </c>
      <c r="I67" s="5">
        <v>9.1275333300000003</v>
      </c>
      <c r="J67" s="5">
        <v>-79.859016999999994</v>
      </c>
      <c r="K67" t="s">
        <v>160</v>
      </c>
      <c r="L67" s="2" t="s">
        <v>135</v>
      </c>
      <c r="M67" t="s">
        <v>164</v>
      </c>
      <c r="N67" t="s">
        <v>140</v>
      </c>
      <c r="O67" t="s">
        <v>142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0</v>
      </c>
      <c r="V67">
        <v>0</v>
      </c>
      <c r="W67">
        <v>0</v>
      </c>
    </row>
    <row r="68" spans="1:23" x14ac:dyDescent="0.2">
      <c r="A68" t="s">
        <v>154</v>
      </c>
      <c r="B68" t="s">
        <v>112</v>
      </c>
      <c r="C68" t="s">
        <v>222</v>
      </c>
      <c r="D68" t="s">
        <v>200</v>
      </c>
      <c r="E68" s="2" t="s">
        <v>135</v>
      </c>
      <c r="F68" t="s">
        <v>25</v>
      </c>
      <c r="G68" t="s">
        <v>201</v>
      </c>
      <c r="H68" t="s">
        <v>214</v>
      </c>
      <c r="I68" s="5">
        <v>9.0846833300000007</v>
      </c>
      <c r="J68" s="5">
        <v>-79.663832999999997</v>
      </c>
      <c r="K68" t="s">
        <v>163</v>
      </c>
      <c r="L68" s="2" t="s">
        <v>133</v>
      </c>
      <c r="M68" t="s">
        <v>177</v>
      </c>
      <c r="N68" t="s">
        <v>140</v>
      </c>
      <c r="O68" t="s">
        <v>141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0</v>
      </c>
      <c r="V68">
        <v>0</v>
      </c>
      <c r="W68">
        <v>0</v>
      </c>
    </row>
    <row r="69" spans="1:23" x14ac:dyDescent="0.2">
      <c r="A69" t="s">
        <v>154</v>
      </c>
      <c r="B69" t="s">
        <v>113</v>
      </c>
      <c r="C69" t="s">
        <v>222</v>
      </c>
      <c r="D69" t="s">
        <v>200</v>
      </c>
      <c r="E69" s="2" t="s">
        <v>135</v>
      </c>
      <c r="F69" t="s">
        <v>114</v>
      </c>
      <c r="G69" t="s">
        <v>201</v>
      </c>
      <c r="H69" t="s">
        <v>214</v>
      </c>
      <c r="I69" s="5">
        <v>9.0846833300000007</v>
      </c>
      <c r="J69" s="5">
        <v>-79.663832999999997</v>
      </c>
      <c r="K69" t="s">
        <v>163</v>
      </c>
      <c r="L69" s="2" t="s">
        <v>133</v>
      </c>
      <c r="M69" t="s">
        <v>177</v>
      </c>
      <c r="N69" t="s">
        <v>140</v>
      </c>
      <c r="O69" t="s">
        <v>141</v>
      </c>
      <c r="P69">
        <v>4</v>
      </c>
      <c r="Q69">
        <v>2</v>
      </c>
      <c r="R69">
        <v>1</v>
      </c>
      <c r="S69">
        <v>1</v>
      </c>
      <c r="T69">
        <v>0</v>
      </c>
      <c r="U69">
        <v>1</v>
      </c>
      <c r="V69">
        <v>1</v>
      </c>
      <c r="W69">
        <v>0</v>
      </c>
    </row>
    <row r="70" spans="1:23" x14ac:dyDescent="0.2">
      <c r="A70" t="s">
        <v>154</v>
      </c>
      <c r="B70" t="s">
        <v>116</v>
      </c>
      <c r="C70" t="s">
        <v>222</v>
      </c>
      <c r="D70" t="s">
        <v>200</v>
      </c>
      <c r="E70" s="2" t="s">
        <v>135</v>
      </c>
      <c r="F70" t="s">
        <v>117</v>
      </c>
      <c r="G70" t="s">
        <v>201</v>
      </c>
      <c r="H70" t="s">
        <v>214</v>
      </c>
      <c r="I70" s="5">
        <v>9.0846833300000007</v>
      </c>
      <c r="J70" s="5">
        <v>-79.663832999999997</v>
      </c>
      <c r="K70" t="s">
        <v>163</v>
      </c>
      <c r="L70" s="2" t="s">
        <v>133</v>
      </c>
      <c r="M70" t="s">
        <v>177</v>
      </c>
      <c r="N70" t="s">
        <v>140</v>
      </c>
      <c r="O70" t="s">
        <v>141</v>
      </c>
      <c r="P70">
        <v>16</v>
      </c>
      <c r="Q70">
        <v>8</v>
      </c>
      <c r="R70">
        <v>1</v>
      </c>
      <c r="S70">
        <v>1</v>
      </c>
      <c r="T70">
        <v>0</v>
      </c>
      <c r="U70">
        <v>1</v>
      </c>
      <c r="V70">
        <v>1</v>
      </c>
      <c r="W70">
        <v>0</v>
      </c>
    </row>
    <row r="71" spans="1:23" x14ac:dyDescent="0.2">
      <c r="A71" t="s">
        <v>154</v>
      </c>
      <c r="B71" t="s">
        <v>118</v>
      </c>
      <c r="C71" t="s">
        <v>222</v>
      </c>
      <c r="D71" t="s">
        <v>200</v>
      </c>
      <c r="E71" s="2" t="s">
        <v>135</v>
      </c>
      <c r="F71" t="s">
        <v>119</v>
      </c>
      <c r="G71" t="s">
        <v>201</v>
      </c>
      <c r="H71" t="s">
        <v>215</v>
      </c>
      <c r="I71" s="5">
        <v>9.1204000000000001</v>
      </c>
      <c r="J71" s="5">
        <v>-79.7012</v>
      </c>
      <c r="K71" t="s">
        <v>163</v>
      </c>
      <c r="L71" s="2" t="s">
        <v>133</v>
      </c>
      <c r="M71" t="s">
        <v>177</v>
      </c>
      <c r="N71" t="s">
        <v>140</v>
      </c>
      <c r="O71" t="s">
        <v>141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0</v>
      </c>
      <c r="V71">
        <v>0</v>
      </c>
      <c r="W71">
        <v>0</v>
      </c>
    </row>
    <row r="72" spans="1:23" x14ac:dyDescent="0.2">
      <c r="A72" t="s">
        <v>154</v>
      </c>
      <c r="B72" t="s">
        <v>118</v>
      </c>
      <c r="C72" t="s">
        <v>222</v>
      </c>
      <c r="D72" t="s">
        <v>200</v>
      </c>
      <c r="E72" s="2" t="s">
        <v>135</v>
      </c>
      <c r="F72" t="s">
        <v>120</v>
      </c>
      <c r="G72" t="s">
        <v>201</v>
      </c>
      <c r="H72" t="s">
        <v>214</v>
      </c>
      <c r="I72" s="5">
        <v>9.0846833300000007</v>
      </c>
      <c r="J72" s="5">
        <v>-79.663832999999997</v>
      </c>
      <c r="K72" t="s">
        <v>163</v>
      </c>
      <c r="L72" s="2" t="s">
        <v>133</v>
      </c>
      <c r="M72" t="s">
        <v>177</v>
      </c>
      <c r="N72" t="s">
        <v>140</v>
      </c>
      <c r="O72" t="s">
        <v>141</v>
      </c>
      <c r="P72">
        <v>12</v>
      </c>
      <c r="Q72">
        <v>10</v>
      </c>
      <c r="R72">
        <v>5</v>
      </c>
      <c r="S72">
        <v>3</v>
      </c>
      <c r="T72">
        <v>2</v>
      </c>
      <c r="U72">
        <v>0.6</v>
      </c>
      <c r="V72">
        <v>3</v>
      </c>
      <c r="W72">
        <v>0</v>
      </c>
    </row>
    <row r="73" spans="1:23" x14ac:dyDescent="0.2">
      <c r="A73" t="s">
        <v>154</v>
      </c>
      <c r="B73" t="s">
        <v>121</v>
      </c>
      <c r="C73" t="s">
        <v>222</v>
      </c>
      <c r="D73" t="s">
        <v>200</v>
      </c>
      <c r="E73" s="2" t="s">
        <v>135</v>
      </c>
      <c r="F73" t="s">
        <v>122</v>
      </c>
      <c r="G73" t="s">
        <v>201</v>
      </c>
      <c r="H73" t="s">
        <v>214</v>
      </c>
      <c r="I73" s="5">
        <v>9.0846833300000007</v>
      </c>
      <c r="J73" s="5">
        <v>-79.663832999999997</v>
      </c>
      <c r="K73" t="s">
        <v>163</v>
      </c>
      <c r="L73" s="2" t="s">
        <v>133</v>
      </c>
      <c r="M73" t="s">
        <v>177</v>
      </c>
      <c r="N73" t="s">
        <v>140</v>
      </c>
      <c r="O73" t="s">
        <v>141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0</v>
      </c>
      <c r="V73">
        <v>0</v>
      </c>
      <c r="W73">
        <v>0</v>
      </c>
    </row>
    <row r="74" spans="1:23" x14ac:dyDescent="0.2">
      <c r="A74" t="s">
        <v>147</v>
      </c>
      <c r="B74" t="s">
        <v>31</v>
      </c>
      <c r="C74" t="s">
        <v>224</v>
      </c>
      <c r="D74" t="s">
        <v>29</v>
      </c>
      <c r="E74" s="2" t="s">
        <v>134</v>
      </c>
      <c r="F74" t="s">
        <v>32</v>
      </c>
      <c r="G74" t="s">
        <v>29</v>
      </c>
      <c r="H74" t="s">
        <v>162</v>
      </c>
      <c r="I74" t="s">
        <v>162</v>
      </c>
      <c r="J74" t="s">
        <v>162</v>
      </c>
      <c r="K74" t="s">
        <v>163</v>
      </c>
      <c r="L74" s="2" t="s">
        <v>134</v>
      </c>
      <c r="M74" t="s">
        <v>170</v>
      </c>
      <c r="N74" t="s">
        <v>140</v>
      </c>
      <c r="O74" t="s">
        <v>148</v>
      </c>
      <c r="P74">
        <v>12</v>
      </c>
      <c r="Q74">
        <v>3</v>
      </c>
      <c r="R74">
        <v>1</v>
      </c>
      <c r="S74">
        <v>1</v>
      </c>
      <c r="T74">
        <v>0</v>
      </c>
      <c r="U74">
        <v>1</v>
      </c>
      <c r="V74">
        <v>1</v>
      </c>
      <c r="W74">
        <v>0</v>
      </c>
    </row>
    <row r="75" spans="1:23" x14ac:dyDescent="0.2">
      <c r="A75" t="s">
        <v>147</v>
      </c>
      <c r="B75" t="s">
        <v>33</v>
      </c>
      <c r="C75" t="s">
        <v>224</v>
      </c>
      <c r="D75" t="s">
        <v>29</v>
      </c>
      <c r="E75" s="2" t="s">
        <v>134</v>
      </c>
      <c r="F75" t="s">
        <v>34</v>
      </c>
      <c r="G75" t="s">
        <v>29</v>
      </c>
      <c r="H75" t="s">
        <v>162</v>
      </c>
      <c r="I75" t="s">
        <v>162</v>
      </c>
      <c r="J75" t="s">
        <v>162</v>
      </c>
      <c r="K75" t="s">
        <v>163</v>
      </c>
      <c r="L75" s="2" t="s">
        <v>134</v>
      </c>
      <c r="M75" t="s">
        <v>170</v>
      </c>
      <c r="N75" t="s">
        <v>140</v>
      </c>
      <c r="O75" t="s">
        <v>148</v>
      </c>
      <c r="P75">
        <v>3</v>
      </c>
      <c r="Q75">
        <v>3</v>
      </c>
      <c r="R75">
        <v>0</v>
      </c>
      <c r="S75">
        <v>0</v>
      </c>
      <c r="T75">
        <v>0</v>
      </c>
      <c r="U75" t="s">
        <v>0</v>
      </c>
      <c r="V75">
        <v>0</v>
      </c>
      <c r="W75">
        <v>0</v>
      </c>
    </row>
    <row r="76" spans="1:23" x14ac:dyDescent="0.2">
      <c r="A76" t="s">
        <v>147</v>
      </c>
      <c r="B76" t="s">
        <v>35</v>
      </c>
      <c r="C76" t="s">
        <v>224</v>
      </c>
      <c r="D76" t="s">
        <v>29</v>
      </c>
      <c r="E76" s="2" t="s">
        <v>134</v>
      </c>
      <c r="F76" t="s">
        <v>36</v>
      </c>
      <c r="G76" t="s">
        <v>29</v>
      </c>
      <c r="H76" t="s">
        <v>162</v>
      </c>
      <c r="I76" t="s">
        <v>162</v>
      </c>
      <c r="J76" t="s">
        <v>162</v>
      </c>
      <c r="K76" t="s">
        <v>163</v>
      </c>
      <c r="L76" s="2" t="s">
        <v>134</v>
      </c>
      <c r="M76" t="s">
        <v>170</v>
      </c>
      <c r="N76" t="s">
        <v>140</v>
      </c>
      <c r="O76" t="s">
        <v>148</v>
      </c>
      <c r="P76">
        <v>8</v>
      </c>
      <c r="Q76">
        <v>6</v>
      </c>
      <c r="R76">
        <v>1</v>
      </c>
      <c r="S76">
        <v>1</v>
      </c>
      <c r="T76">
        <v>0</v>
      </c>
      <c r="U76">
        <v>1</v>
      </c>
      <c r="V76">
        <v>0</v>
      </c>
      <c r="W76">
        <v>1</v>
      </c>
    </row>
    <row r="77" spans="1:23" x14ac:dyDescent="0.2">
      <c r="A77" t="s">
        <v>147</v>
      </c>
      <c r="B77" t="s">
        <v>37</v>
      </c>
      <c r="C77" t="s">
        <v>224</v>
      </c>
      <c r="D77" t="s">
        <v>29</v>
      </c>
      <c r="E77" s="2" t="s">
        <v>134</v>
      </c>
      <c r="F77" t="s">
        <v>38</v>
      </c>
      <c r="G77" t="s">
        <v>29</v>
      </c>
      <c r="H77" t="s">
        <v>162</v>
      </c>
      <c r="I77" t="s">
        <v>162</v>
      </c>
      <c r="J77" t="s">
        <v>162</v>
      </c>
      <c r="K77" t="s">
        <v>163</v>
      </c>
      <c r="L77" s="2" t="s">
        <v>134</v>
      </c>
      <c r="M77" t="s">
        <v>170</v>
      </c>
      <c r="N77" t="s">
        <v>140</v>
      </c>
      <c r="O77" t="s">
        <v>148</v>
      </c>
      <c r="P77">
        <v>1</v>
      </c>
      <c r="Q77">
        <v>0</v>
      </c>
      <c r="R77">
        <v>0</v>
      </c>
      <c r="S77">
        <v>0</v>
      </c>
      <c r="T77">
        <v>0</v>
      </c>
      <c r="U77" t="s">
        <v>0</v>
      </c>
      <c r="V77">
        <v>0</v>
      </c>
      <c r="W77">
        <v>0</v>
      </c>
    </row>
    <row r="78" spans="1:23" x14ac:dyDescent="0.2">
      <c r="A78" t="s">
        <v>147</v>
      </c>
      <c r="B78" t="s">
        <v>37</v>
      </c>
      <c r="C78" t="s">
        <v>224</v>
      </c>
      <c r="D78" t="s">
        <v>29</v>
      </c>
      <c r="E78" s="2" t="s">
        <v>134</v>
      </c>
      <c r="F78" t="s">
        <v>39</v>
      </c>
      <c r="G78" t="s">
        <v>29</v>
      </c>
      <c r="H78" t="s">
        <v>162</v>
      </c>
      <c r="I78" t="s">
        <v>162</v>
      </c>
      <c r="J78" t="s">
        <v>162</v>
      </c>
      <c r="K78" t="s">
        <v>163</v>
      </c>
      <c r="L78" s="2" t="s">
        <v>134</v>
      </c>
      <c r="M78" t="s">
        <v>170</v>
      </c>
      <c r="N78" t="s">
        <v>140</v>
      </c>
      <c r="O78" t="s">
        <v>148</v>
      </c>
      <c r="P78">
        <v>1</v>
      </c>
      <c r="Q78">
        <v>1</v>
      </c>
      <c r="R78">
        <v>0</v>
      </c>
      <c r="S78">
        <v>0</v>
      </c>
      <c r="T78">
        <v>0</v>
      </c>
      <c r="U78" t="s">
        <v>0</v>
      </c>
      <c r="V78">
        <v>0</v>
      </c>
      <c r="W78">
        <v>0</v>
      </c>
    </row>
    <row r="79" spans="1:23" x14ac:dyDescent="0.2">
      <c r="A79" t="s">
        <v>147</v>
      </c>
      <c r="B79" t="s">
        <v>40</v>
      </c>
      <c r="C79" t="s">
        <v>224</v>
      </c>
      <c r="D79" t="s">
        <v>29</v>
      </c>
      <c r="E79" s="2" t="s">
        <v>134</v>
      </c>
      <c r="F79" t="s">
        <v>32</v>
      </c>
      <c r="G79" t="s">
        <v>29</v>
      </c>
      <c r="H79" t="s">
        <v>162</v>
      </c>
      <c r="I79" t="s">
        <v>162</v>
      </c>
      <c r="J79" t="s">
        <v>162</v>
      </c>
      <c r="K79" t="s">
        <v>163</v>
      </c>
      <c r="L79" s="2" t="s">
        <v>134</v>
      </c>
      <c r="M79" t="s">
        <v>170</v>
      </c>
      <c r="N79" t="s">
        <v>140</v>
      </c>
      <c r="O79" t="s">
        <v>148</v>
      </c>
      <c r="P79">
        <v>13</v>
      </c>
      <c r="Q79">
        <v>12</v>
      </c>
      <c r="R79">
        <v>3</v>
      </c>
      <c r="S79">
        <v>1</v>
      </c>
      <c r="T79">
        <v>2</v>
      </c>
      <c r="U79">
        <v>0.33333333300000001</v>
      </c>
      <c r="V79">
        <v>0</v>
      </c>
      <c r="W79">
        <v>1</v>
      </c>
    </row>
    <row r="80" spans="1:23" x14ac:dyDescent="0.2">
      <c r="A80" t="s">
        <v>147</v>
      </c>
      <c r="B80" t="s">
        <v>42</v>
      </c>
      <c r="C80" t="s">
        <v>224</v>
      </c>
      <c r="D80" t="s">
        <v>29</v>
      </c>
      <c r="E80" s="2" t="s">
        <v>134</v>
      </c>
      <c r="F80" t="s">
        <v>43</v>
      </c>
      <c r="G80" t="s">
        <v>29</v>
      </c>
      <c r="H80" t="s">
        <v>162</v>
      </c>
      <c r="I80" t="s">
        <v>162</v>
      </c>
      <c r="J80" t="s">
        <v>162</v>
      </c>
      <c r="K80" t="s">
        <v>163</v>
      </c>
      <c r="L80" s="2" t="s">
        <v>134</v>
      </c>
      <c r="M80" t="s">
        <v>170</v>
      </c>
      <c r="N80" t="s">
        <v>140</v>
      </c>
      <c r="O80" t="s">
        <v>148</v>
      </c>
      <c r="P80">
        <v>1</v>
      </c>
      <c r="Q80">
        <v>0</v>
      </c>
      <c r="R80">
        <v>0</v>
      </c>
      <c r="S80">
        <v>0</v>
      </c>
      <c r="T80">
        <v>0</v>
      </c>
      <c r="U80" t="s">
        <v>0</v>
      </c>
      <c r="V80">
        <v>0</v>
      </c>
      <c r="W80">
        <v>0</v>
      </c>
    </row>
    <row r="81" spans="1:23" x14ac:dyDescent="0.2">
      <c r="A81" t="s">
        <v>147</v>
      </c>
      <c r="B81" t="s">
        <v>42</v>
      </c>
      <c r="C81" t="s">
        <v>224</v>
      </c>
      <c r="D81" t="s">
        <v>29</v>
      </c>
      <c r="E81" s="2" t="s">
        <v>134</v>
      </c>
      <c r="F81" t="s">
        <v>43</v>
      </c>
      <c r="G81" t="s">
        <v>29</v>
      </c>
      <c r="H81" t="s">
        <v>162</v>
      </c>
      <c r="I81" t="s">
        <v>162</v>
      </c>
      <c r="J81" t="s">
        <v>162</v>
      </c>
      <c r="K81" t="s">
        <v>163</v>
      </c>
      <c r="L81" s="2" t="s">
        <v>134</v>
      </c>
      <c r="M81" t="s">
        <v>170</v>
      </c>
      <c r="N81" t="s">
        <v>140</v>
      </c>
      <c r="O81" t="s">
        <v>148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0</v>
      </c>
      <c r="V81">
        <v>0</v>
      </c>
      <c r="W81">
        <v>0</v>
      </c>
    </row>
    <row r="82" spans="1:23" x14ac:dyDescent="0.2">
      <c r="A82" t="s">
        <v>147</v>
      </c>
      <c r="B82" t="s">
        <v>42</v>
      </c>
      <c r="C82" t="s">
        <v>224</v>
      </c>
      <c r="D82" t="s">
        <v>29</v>
      </c>
      <c r="E82" s="2" t="s">
        <v>134</v>
      </c>
      <c r="F82" t="s">
        <v>44</v>
      </c>
      <c r="G82" t="s">
        <v>29</v>
      </c>
      <c r="H82" t="s">
        <v>162</v>
      </c>
      <c r="I82" t="s">
        <v>162</v>
      </c>
      <c r="J82" t="s">
        <v>162</v>
      </c>
      <c r="K82" t="s">
        <v>163</v>
      </c>
      <c r="L82" s="2" t="s">
        <v>134</v>
      </c>
      <c r="M82" t="s">
        <v>170</v>
      </c>
      <c r="N82" t="s">
        <v>140</v>
      </c>
      <c r="O82" t="s">
        <v>148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0</v>
      </c>
      <c r="V82">
        <v>0</v>
      </c>
      <c r="W82">
        <v>0</v>
      </c>
    </row>
    <row r="83" spans="1:23" x14ac:dyDescent="0.2">
      <c r="A83" t="s">
        <v>147</v>
      </c>
      <c r="B83" t="s">
        <v>45</v>
      </c>
      <c r="C83" t="s">
        <v>224</v>
      </c>
      <c r="D83" t="s">
        <v>29</v>
      </c>
      <c r="E83" s="2" t="s">
        <v>134</v>
      </c>
      <c r="F83" t="s">
        <v>46</v>
      </c>
      <c r="G83" t="s">
        <v>29</v>
      </c>
      <c r="H83" t="s">
        <v>162</v>
      </c>
      <c r="I83" t="s">
        <v>162</v>
      </c>
      <c r="J83" t="s">
        <v>162</v>
      </c>
      <c r="K83" t="s">
        <v>163</v>
      </c>
      <c r="L83" s="2" t="s">
        <v>134</v>
      </c>
      <c r="M83" t="s">
        <v>170</v>
      </c>
      <c r="N83" t="s">
        <v>140</v>
      </c>
      <c r="O83" t="s">
        <v>148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0</v>
      </c>
      <c r="V83">
        <v>0</v>
      </c>
      <c r="W83">
        <v>0</v>
      </c>
    </row>
    <row r="84" spans="1:23" x14ac:dyDescent="0.2">
      <c r="A84" t="s">
        <v>147</v>
      </c>
      <c r="B84" t="s">
        <v>47</v>
      </c>
      <c r="C84" t="s">
        <v>224</v>
      </c>
      <c r="D84" t="s">
        <v>29</v>
      </c>
      <c r="E84" s="2" t="s">
        <v>134</v>
      </c>
      <c r="F84" t="s">
        <v>34</v>
      </c>
      <c r="G84" t="s">
        <v>29</v>
      </c>
      <c r="H84" t="s">
        <v>162</v>
      </c>
      <c r="I84" t="s">
        <v>162</v>
      </c>
      <c r="J84" t="s">
        <v>162</v>
      </c>
      <c r="K84" t="s">
        <v>163</v>
      </c>
      <c r="L84" s="2" t="s">
        <v>134</v>
      </c>
      <c r="M84" t="s">
        <v>170</v>
      </c>
      <c r="N84" t="s">
        <v>140</v>
      </c>
      <c r="O84" t="s">
        <v>148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0</v>
      </c>
      <c r="V84">
        <v>0</v>
      </c>
      <c r="W84">
        <v>0</v>
      </c>
    </row>
    <row r="85" spans="1:23" x14ac:dyDescent="0.2">
      <c r="A85" t="s">
        <v>147</v>
      </c>
      <c r="B85" t="s">
        <v>48</v>
      </c>
      <c r="C85" t="s">
        <v>224</v>
      </c>
      <c r="D85" t="s">
        <v>29</v>
      </c>
      <c r="E85" s="2" t="s">
        <v>134</v>
      </c>
      <c r="F85" t="s">
        <v>39</v>
      </c>
      <c r="G85" t="s">
        <v>29</v>
      </c>
      <c r="H85" t="s">
        <v>162</v>
      </c>
      <c r="I85" t="s">
        <v>162</v>
      </c>
      <c r="J85" t="s">
        <v>162</v>
      </c>
      <c r="K85" t="s">
        <v>163</v>
      </c>
      <c r="L85" s="2" t="s">
        <v>134</v>
      </c>
      <c r="M85" t="s">
        <v>170</v>
      </c>
      <c r="N85" t="s">
        <v>140</v>
      </c>
      <c r="O85" t="s">
        <v>148</v>
      </c>
      <c r="P85">
        <v>1</v>
      </c>
      <c r="Q85">
        <v>0</v>
      </c>
      <c r="R85">
        <v>0</v>
      </c>
      <c r="S85">
        <v>0</v>
      </c>
      <c r="T85">
        <v>0</v>
      </c>
      <c r="U85" t="s">
        <v>0</v>
      </c>
      <c r="V85">
        <v>0</v>
      </c>
      <c r="W85">
        <v>0</v>
      </c>
    </row>
    <row r="86" spans="1:23" x14ac:dyDescent="0.2">
      <c r="A86" t="s">
        <v>147</v>
      </c>
      <c r="B86" t="s">
        <v>49</v>
      </c>
      <c r="C86" t="s">
        <v>224</v>
      </c>
      <c r="D86" t="s">
        <v>29</v>
      </c>
      <c r="E86" s="2" t="s">
        <v>134</v>
      </c>
      <c r="F86" t="s">
        <v>34</v>
      </c>
      <c r="G86" t="s">
        <v>29</v>
      </c>
      <c r="H86" t="s">
        <v>162</v>
      </c>
      <c r="I86" t="s">
        <v>162</v>
      </c>
      <c r="J86" t="s">
        <v>162</v>
      </c>
      <c r="K86" t="s">
        <v>163</v>
      </c>
      <c r="L86" s="2" t="s">
        <v>134</v>
      </c>
      <c r="M86" t="s">
        <v>170</v>
      </c>
      <c r="N86" t="s">
        <v>140</v>
      </c>
      <c r="O86" t="s">
        <v>148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0</v>
      </c>
      <c r="V86">
        <v>0</v>
      </c>
      <c r="W86">
        <v>0</v>
      </c>
    </row>
    <row r="87" spans="1:23" x14ac:dyDescent="0.2">
      <c r="A87" t="s">
        <v>147</v>
      </c>
      <c r="B87" t="s">
        <v>49</v>
      </c>
      <c r="C87" t="s">
        <v>224</v>
      </c>
      <c r="D87" t="s">
        <v>29</v>
      </c>
      <c r="E87" s="2" t="s">
        <v>134</v>
      </c>
      <c r="F87" t="s">
        <v>34</v>
      </c>
      <c r="G87" t="s">
        <v>29</v>
      </c>
      <c r="H87" t="s">
        <v>162</v>
      </c>
      <c r="I87" t="s">
        <v>162</v>
      </c>
      <c r="J87" t="s">
        <v>162</v>
      </c>
      <c r="K87" t="s">
        <v>163</v>
      </c>
      <c r="L87" s="2" t="s">
        <v>134</v>
      </c>
      <c r="M87" t="s">
        <v>170</v>
      </c>
      <c r="N87" t="s">
        <v>140</v>
      </c>
      <c r="O87" t="s">
        <v>148</v>
      </c>
      <c r="P87">
        <v>7</v>
      </c>
      <c r="Q87">
        <v>5</v>
      </c>
      <c r="R87">
        <v>0</v>
      </c>
      <c r="S87">
        <v>0</v>
      </c>
      <c r="T87">
        <v>0</v>
      </c>
      <c r="U87" t="s">
        <v>0</v>
      </c>
      <c r="V87">
        <v>0</v>
      </c>
      <c r="W87">
        <v>0</v>
      </c>
    </row>
    <row r="88" spans="1:23" x14ac:dyDescent="0.2">
      <c r="A88" t="s">
        <v>147</v>
      </c>
      <c r="B88" t="s">
        <v>50</v>
      </c>
      <c r="C88" t="s">
        <v>224</v>
      </c>
      <c r="D88" t="s">
        <v>29</v>
      </c>
      <c r="E88" s="2" t="s">
        <v>134</v>
      </c>
      <c r="F88" t="s">
        <v>44</v>
      </c>
      <c r="G88" t="s">
        <v>29</v>
      </c>
      <c r="H88" t="s">
        <v>162</v>
      </c>
      <c r="I88" t="s">
        <v>162</v>
      </c>
      <c r="J88" t="s">
        <v>162</v>
      </c>
      <c r="K88" t="s">
        <v>163</v>
      </c>
      <c r="L88" s="2" t="s">
        <v>134</v>
      </c>
      <c r="M88" t="s">
        <v>170</v>
      </c>
      <c r="N88" t="s">
        <v>140</v>
      </c>
      <c r="O88" t="s">
        <v>148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0</v>
      </c>
      <c r="V88">
        <v>0</v>
      </c>
      <c r="W88">
        <v>0</v>
      </c>
    </row>
    <row r="89" spans="1:23" x14ac:dyDescent="0.2">
      <c r="A89" t="s">
        <v>147</v>
      </c>
      <c r="B89" t="s">
        <v>51</v>
      </c>
      <c r="C89" t="s">
        <v>224</v>
      </c>
      <c r="D89" t="s">
        <v>29</v>
      </c>
      <c r="E89" s="2" t="s">
        <v>134</v>
      </c>
      <c r="F89" t="s">
        <v>52</v>
      </c>
      <c r="G89" t="s">
        <v>29</v>
      </c>
      <c r="H89" t="s">
        <v>162</v>
      </c>
      <c r="I89" t="s">
        <v>162</v>
      </c>
      <c r="J89" t="s">
        <v>162</v>
      </c>
      <c r="K89" t="s">
        <v>163</v>
      </c>
      <c r="L89" s="2" t="s">
        <v>134</v>
      </c>
      <c r="M89" t="s">
        <v>170</v>
      </c>
      <c r="N89" t="s">
        <v>140</v>
      </c>
      <c r="O89" t="s">
        <v>148</v>
      </c>
      <c r="P89">
        <v>4</v>
      </c>
      <c r="Q89">
        <v>1</v>
      </c>
      <c r="R89">
        <v>0</v>
      </c>
      <c r="S89">
        <v>0</v>
      </c>
      <c r="T89">
        <v>0</v>
      </c>
      <c r="U89" t="s">
        <v>0</v>
      </c>
      <c r="V89">
        <v>0</v>
      </c>
      <c r="W89">
        <v>0</v>
      </c>
    </row>
    <row r="90" spans="1:23" x14ac:dyDescent="0.2">
      <c r="A90" t="s">
        <v>147</v>
      </c>
      <c r="B90" t="s">
        <v>56</v>
      </c>
      <c r="C90" t="s">
        <v>224</v>
      </c>
      <c r="D90" t="s">
        <v>29</v>
      </c>
      <c r="E90" s="2" t="s">
        <v>134</v>
      </c>
      <c r="F90" t="s">
        <v>34</v>
      </c>
      <c r="G90" t="s">
        <v>29</v>
      </c>
      <c r="H90" t="s">
        <v>162</v>
      </c>
      <c r="I90" t="s">
        <v>162</v>
      </c>
      <c r="J90" t="s">
        <v>162</v>
      </c>
      <c r="K90" t="s">
        <v>163</v>
      </c>
      <c r="L90" s="2" t="s">
        <v>134</v>
      </c>
      <c r="M90" t="s">
        <v>170</v>
      </c>
      <c r="N90" t="s">
        <v>140</v>
      </c>
      <c r="O90" t="s">
        <v>148</v>
      </c>
      <c r="P90">
        <v>4</v>
      </c>
      <c r="Q90">
        <v>2</v>
      </c>
      <c r="R90">
        <v>0</v>
      </c>
      <c r="S90">
        <v>0</v>
      </c>
      <c r="T90">
        <v>0</v>
      </c>
      <c r="U90" t="s">
        <v>0</v>
      </c>
      <c r="V90">
        <v>0</v>
      </c>
      <c r="W90">
        <v>0</v>
      </c>
    </row>
    <row r="91" spans="1:23" x14ac:dyDescent="0.2">
      <c r="A91" t="s">
        <v>147</v>
      </c>
      <c r="B91" t="s">
        <v>57</v>
      </c>
      <c r="C91" t="s">
        <v>224</v>
      </c>
      <c r="D91" t="s">
        <v>29</v>
      </c>
      <c r="E91" s="2" t="s">
        <v>134</v>
      </c>
      <c r="F91" t="s">
        <v>58</v>
      </c>
      <c r="G91" t="s">
        <v>29</v>
      </c>
      <c r="H91" t="s">
        <v>162</v>
      </c>
      <c r="I91" t="s">
        <v>162</v>
      </c>
      <c r="J91" t="s">
        <v>162</v>
      </c>
      <c r="K91" t="s">
        <v>163</v>
      </c>
      <c r="L91" s="2" t="s">
        <v>134</v>
      </c>
      <c r="M91" t="s">
        <v>170</v>
      </c>
      <c r="N91" t="s">
        <v>140</v>
      </c>
      <c r="O91" t="s">
        <v>148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0</v>
      </c>
      <c r="V91">
        <v>0</v>
      </c>
      <c r="W91">
        <v>0</v>
      </c>
    </row>
    <row r="92" spans="1:23" x14ac:dyDescent="0.2">
      <c r="A92" t="s">
        <v>147</v>
      </c>
      <c r="B92" t="s">
        <v>59</v>
      </c>
      <c r="C92" t="s">
        <v>224</v>
      </c>
      <c r="D92" t="s">
        <v>29</v>
      </c>
      <c r="E92" s="2" t="s">
        <v>134</v>
      </c>
      <c r="F92" t="s">
        <v>36</v>
      </c>
      <c r="G92" t="s">
        <v>29</v>
      </c>
      <c r="H92" t="s">
        <v>162</v>
      </c>
      <c r="I92" t="s">
        <v>162</v>
      </c>
      <c r="J92" t="s">
        <v>162</v>
      </c>
      <c r="K92" t="s">
        <v>163</v>
      </c>
      <c r="L92" s="2" t="s">
        <v>134</v>
      </c>
      <c r="M92" t="s">
        <v>170</v>
      </c>
      <c r="N92" t="s">
        <v>140</v>
      </c>
      <c r="O92" t="s">
        <v>148</v>
      </c>
      <c r="P92">
        <v>4</v>
      </c>
      <c r="Q92">
        <v>1</v>
      </c>
      <c r="R92">
        <v>0</v>
      </c>
      <c r="S92">
        <v>0</v>
      </c>
      <c r="T92">
        <v>0</v>
      </c>
      <c r="U92" t="s">
        <v>0</v>
      </c>
      <c r="V92">
        <v>0</v>
      </c>
      <c r="W92">
        <v>0</v>
      </c>
    </row>
    <row r="93" spans="1:23" x14ac:dyDescent="0.2">
      <c r="A93" t="s">
        <v>147</v>
      </c>
      <c r="B93" t="s">
        <v>60</v>
      </c>
      <c r="C93" t="s">
        <v>224</v>
      </c>
      <c r="D93" t="s">
        <v>29</v>
      </c>
      <c r="E93" s="2" t="s">
        <v>134</v>
      </c>
      <c r="F93" t="s">
        <v>39</v>
      </c>
      <c r="G93" t="s">
        <v>29</v>
      </c>
      <c r="H93" t="s">
        <v>162</v>
      </c>
      <c r="I93" t="s">
        <v>162</v>
      </c>
      <c r="J93" t="s">
        <v>162</v>
      </c>
      <c r="K93" t="s">
        <v>163</v>
      </c>
      <c r="L93" s="2" t="s">
        <v>134</v>
      </c>
      <c r="M93" t="s">
        <v>170</v>
      </c>
      <c r="N93" t="s">
        <v>140</v>
      </c>
      <c r="O93" t="s">
        <v>148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0</v>
      </c>
      <c r="V93">
        <v>0</v>
      </c>
      <c r="W93">
        <v>0</v>
      </c>
    </row>
    <row r="94" spans="1:23" x14ac:dyDescent="0.2">
      <c r="A94" t="s">
        <v>147</v>
      </c>
      <c r="B94" t="s">
        <v>61</v>
      </c>
      <c r="C94" t="s">
        <v>224</v>
      </c>
      <c r="D94" t="s">
        <v>29</v>
      </c>
      <c r="E94" s="2" t="s">
        <v>134</v>
      </c>
      <c r="F94" t="s">
        <v>34</v>
      </c>
      <c r="G94" t="s">
        <v>29</v>
      </c>
      <c r="H94" t="s">
        <v>162</v>
      </c>
      <c r="I94" t="s">
        <v>162</v>
      </c>
      <c r="J94" t="s">
        <v>162</v>
      </c>
      <c r="K94" t="s">
        <v>163</v>
      </c>
      <c r="L94" s="2" t="s">
        <v>134</v>
      </c>
      <c r="M94" t="s">
        <v>170</v>
      </c>
      <c r="N94" t="s">
        <v>140</v>
      </c>
      <c r="O94" t="s">
        <v>148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0</v>
      </c>
      <c r="V94">
        <v>0</v>
      </c>
      <c r="W94">
        <v>0</v>
      </c>
    </row>
    <row r="95" spans="1:23" x14ac:dyDescent="0.2">
      <c r="A95" t="s">
        <v>147</v>
      </c>
      <c r="B95" t="s">
        <v>64</v>
      </c>
      <c r="C95" t="s">
        <v>224</v>
      </c>
      <c r="D95" t="s">
        <v>29</v>
      </c>
      <c r="E95" s="2" t="s">
        <v>134</v>
      </c>
      <c r="F95" t="s">
        <v>34</v>
      </c>
      <c r="G95" t="s">
        <v>29</v>
      </c>
      <c r="H95" t="s">
        <v>162</v>
      </c>
      <c r="I95" t="s">
        <v>162</v>
      </c>
      <c r="J95" t="s">
        <v>162</v>
      </c>
      <c r="K95" t="s">
        <v>163</v>
      </c>
      <c r="L95" s="2" t="s">
        <v>134</v>
      </c>
      <c r="M95" t="s">
        <v>170</v>
      </c>
      <c r="N95" t="s">
        <v>140</v>
      </c>
      <c r="O95" t="s">
        <v>148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0</v>
      </c>
      <c r="V95">
        <v>0</v>
      </c>
      <c r="W95">
        <v>0</v>
      </c>
    </row>
    <row r="96" spans="1:23" x14ac:dyDescent="0.2">
      <c r="A96" s="6" t="s">
        <v>155</v>
      </c>
      <c r="B96" s="6" t="s">
        <v>83</v>
      </c>
      <c r="C96" t="s">
        <v>223</v>
      </c>
      <c r="D96" s="6" t="s">
        <v>200</v>
      </c>
      <c r="E96" s="7" t="s">
        <v>135</v>
      </c>
      <c r="F96" s="6" t="s">
        <v>0</v>
      </c>
      <c r="G96" s="6" t="s">
        <v>200</v>
      </c>
      <c r="H96" s="6" t="s">
        <v>219</v>
      </c>
      <c r="I96" s="8">
        <v>9.1275333300000003</v>
      </c>
      <c r="J96" s="8">
        <v>-79.859016999999994</v>
      </c>
      <c r="K96" s="6" t="s">
        <v>160</v>
      </c>
      <c r="L96" s="7" t="s">
        <v>135</v>
      </c>
      <c r="M96" s="6" t="s">
        <v>164</v>
      </c>
      <c r="N96" s="6" t="s">
        <v>139</v>
      </c>
      <c r="O96" s="6" t="s">
        <v>142</v>
      </c>
      <c r="P96" s="6">
        <v>12</v>
      </c>
      <c r="Q96" s="6">
        <v>9</v>
      </c>
      <c r="R96" s="6">
        <v>4</v>
      </c>
      <c r="S96" s="6">
        <v>4</v>
      </c>
      <c r="T96" s="6">
        <v>0</v>
      </c>
      <c r="U96" s="6">
        <v>1</v>
      </c>
      <c r="V96" s="6">
        <v>0</v>
      </c>
      <c r="W96" s="6">
        <v>4</v>
      </c>
    </row>
    <row r="97" spans="1:23" x14ac:dyDescent="0.2">
      <c r="A97" s="6" t="s">
        <v>155</v>
      </c>
      <c r="B97" s="6" t="s">
        <v>84</v>
      </c>
      <c r="C97" t="s">
        <v>222</v>
      </c>
      <c r="D97" s="6" t="s">
        <v>200</v>
      </c>
      <c r="E97" s="7" t="s">
        <v>135</v>
      </c>
      <c r="F97" s="6" t="s">
        <v>0</v>
      </c>
      <c r="G97" s="6" t="s">
        <v>200</v>
      </c>
      <c r="H97" s="6" t="s">
        <v>219</v>
      </c>
      <c r="I97" s="8">
        <v>9.1275333300000003</v>
      </c>
      <c r="J97" s="8">
        <v>-79.859016999999994</v>
      </c>
      <c r="K97" s="6" t="s">
        <v>160</v>
      </c>
      <c r="L97" s="7" t="s">
        <v>135</v>
      </c>
      <c r="M97" s="6" t="s">
        <v>164</v>
      </c>
      <c r="N97" s="6" t="s">
        <v>140</v>
      </c>
      <c r="O97" s="6" t="s">
        <v>142</v>
      </c>
      <c r="P97" s="6">
        <v>9</v>
      </c>
      <c r="Q97" s="6">
        <v>6</v>
      </c>
      <c r="R97" s="6">
        <v>1</v>
      </c>
      <c r="S97" s="6">
        <v>1</v>
      </c>
      <c r="T97" s="6">
        <v>0</v>
      </c>
      <c r="U97" s="6">
        <v>1</v>
      </c>
      <c r="V97" s="6">
        <v>0</v>
      </c>
      <c r="W97" s="6">
        <v>1</v>
      </c>
    </row>
    <row r="98" spans="1:23" x14ac:dyDescent="0.2">
      <c r="A98" s="6" t="s">
        <v>155</v>
      </c>
      <c r="B98" s="6" t="s">
        <v>85</v>
      </c>
      <c r="C98" t="s">
        <v>223</v>
      </c>
      <c r="D98" s="6" t="s">
        <v>200</v>
      </c>
      <c r="E98" s="7" t="s">
        <v>135</v>
      </c>
      <c r="F98" s="6" t="s">
        <v>0</v>
      </c>
      <c r="G98" s="6" t="s">
        <v>200</v>
      </c>
      <c r="H98" s="6" t="s">
        <v>219</v>
      </c>
      <c r="I98" s="8">
        <v>9.1275333300000003</v>
      </c>
      <c r="J98" s="8">
        <v>-79.859016999999994</v>
      </c>
      <c r="K98" s="6" t="s">
        <v>160</v>
      </c>
      <c r="L98" s="7" t="s">
        <v>135</v>
      </c>
      <c r="M98" s="6" t="s">
        <v>164</v>
      </c>
      <c r="N98" s="6" t="s">
        <v>139</v>
      </c>
      <c r="O98" s="6" t="s">
        <v>142</v>
      </c>
      <c r="P98" s="6">
        <v>25</v>
      </c>
      <c r="Q98" s="6">
        <v>11</v>
      </c>
      <c r="R98" s="6">
        <v>4</v>
      </c>
      <c r="S98" s="6">
        <v>4</v>
      </c>
      <c r="T98" s="6">
        <v>0</v>
      </c>
      <c r="U98" s="6">
        <v>1</v>
      </c>
      <c r="V98" s="6">
        <v>0</v>
      </c>
      <c r="W98" s="6">
        <v>4</v>
      </c>
    </row>
    <row r="99" spans="1:23" x14ac:dyDescent="0.2">
      <c r="A99" s="6" t="s">
        <v>155</v>
      </c>
      <c r="B99" s="6" t="s">
        <v>93</v>
      </c>
      <c r="C99" t="s">
        <v>223</v>
      </c>
      <c r="D99" s="6" t="s">
        <v>200</v>
      </c>
      <c r="E99" s="7" t="s">
        <v>135</v>
      </c>
      <c r="F99" s="6" t="s">
        <v>0</v>
      </c>
      <c r="G99" s="6" t="s">
        <v>200</v>
      </c>
      <c r="H99" s="6" t="s">
        <v>219</v>
      </c>
      <c r="I99" s="8">
        <v>9.1275333300000003</v>
      </c>
      <c r="J99" s="8">
        <v>-79.859016999999994</v>
      </c>
      <c r="K99" s="6" t="s">
        <v>160</v>
      </c>
      <c r="L99" s="7" t="s">
        <v>135</v>
      </c>
      <c r="M99" s="6" t="s">
        <v>164</v>
      </c>
      <c r="N99" s="6" t="s">
        <v>139</v>
      </c>
      <c r="O99" s="6" t="s">
        <v>142</v>
      </c>
      <c r="P99" s="6">
        <v>16</v>
      </c>
      <c r="Q99" s="6">
        <v>13</v>
      </c>
      <c r="R99" s="6">
        <v>7</v>
      </c>
      <c r="S99" s="6">
        <v>4</v>
      </c>
      <c r="T99" s="6">
        <v>3</v>
      </c>
      <c r="U99" s="6">
        <v>0.571428571</v>
      </c>
      <c r="V99" s="6">
        <v>0</v>
      </c>
      <c r="W99" s="6">
        <v>4</v>
      </c>
    </row>
    <row r="100" spans="1:23" x14ac:dyDescent="0.2">
      <c r="A100" s="6" t="s">
        <v>155</v>
      </c>
      <c r="B100" s="6" t="s">
        <v>94</v>
      </c>
      <c r="C100" t="s">
        <v>223</v>
      </c>
      <c r="D100" s="6" t="s">
        <v>200</v>
      </c>
      <c r="E100" s="7" t="s">
        <v>135</v>
      </c>
      <c r="F100" s="6" t="s">
        <v>0</v>
      </c>
      <c r="G100" s="6" t="s">
        <v>200</v>
      </c>
      <c r="H100" s="6" t="s">
        <v>219</v>
      </c>
      <c r="I100" s="8">
        <v>9.1275333300000003</v>
      </c>
      <c r="J100" s="8">
        <v>-79.859016999999994</v>
      </c>
      <c r="K100" s="6" t="s">
        <v>160</v>
      </c>
      <c r="L100" s="7" t="s">
        <v>135</v>
      </c>
      <c r="M100" s="6" t="s">
        <v>164</v>
      </c>
      <c r="N100" s="6" t="s">
        <v>139</v>
      </c>
      <c r="O100" s="6" t="s">
        <v>142</v>
      </c>
      <c r="P100" s="6">
        <v>16</v>
      </c>
      <c r="Q100" s="6">
        <v>10</v>
      </c>
      <c r="R100" s="6">
        <v>3</v>
      </c>
      <c r="S100" s="6">
        <v>2</v>
      </c>
      <c r="T100" s="6">
        <v>1</v>
      </c>
      <c r="U100" s="6">
        <v>0.66666666699999999</v>
      </c>
      <c r="V100" s="6">
        <v>0</v>
      </c>
      <c r="W100" s="6">
        <v>2</v>
      </c>
    </row>
    <row r="101" spans="1:23" x14ac:dyDescent="0.2">
      <c r="A101" s="6" t="s">
        <v>155</v>
      </c>
      <c r="B101" s="6" t="s">
        <v>115</v>
      </c>
      <c r="C101" t="s">
        <v>223</v>
      </c>
      <c r="D101" s="6" t="s">
        <v>200</v>
      </c>
      <c r="E101" s="7" t="s">
        <v>135</v>
      </c>
      <c r="F101" s="6" t="s">
        <v>0</v>
      </c>
      <c r="G101" s="6" t="s">
        <v>200</v>
      </c>
      <c r="H101" s="6" t="s">
        <v>219</v>
      </c>
      <c r="I101" s="8">
        <v>9.1275333300000003</v>
      </c>
      <c r="J101" s="8">
        <v>-79.859016999999994</v>
      </c>
      <c r="K101" s="6" t="s">
        <v>160</v>
      </c>
      <c r="L101" s="7" t="s">
        <v>135</v>
      </c>
      <c r="M101" s="6" t="s">
        <v>164</v>
      </c>
      <c r="N101" s="6" t="s">
        <v>139</v>
      </c>
      <c r="O101" s="6" t="s">
        <v>142</v>
      </c>
      <c r="P101" s="6">
        <v>1</v>
      </c>
      <c r="Q101" s="6">
        <v>0</v>
      </c>
      <c r="R101" s="6">
        <v>0</v>
      </c>
      <c r="S101" s="6">
        <v>0</v>
      </c>
      <c r="T101" s="6">
        <v>0</v>
      </c>
      <c r="U101" s="6" t="s">
        <v>0</v>
      </c>
      <c r="V101" s="6">
        <v>0</v>
      </c>
      <c r="W101" s="6">
        <v>0</v>
      </c>
    </row>
  </sheetData>
  <sortState xmlns:xlrd2="http://schemas.microsoft.com/office/spreadsheetml/2017/richdata2" ref="A3:W102">
    <sortCondition ref="A1:A10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D99D6-06AC-E34D-902A-5EFC53F93FDC}">
  <dimension ref="A1:W18"/>
  <sheetViews>
    <sheetView zoomScale="110" zoomScaleNormal="110" workbookViewId="0">
      <pane ySplit="1" topLeftCell="A2" activePane="bottomLeft" state="frozen"/>
      <selection pane="bottomLeft" activeCell="B11" sqref="B11"/>
    </sheetView>
  </sheetViews>
  <sheetFormatPr baseColWidth="10" defaultRowHeight="16" x14ac:dyDescent="0.2"/>
  <cols>
    <col min="2" max="2" width="34.33203125" customWidth="1"/>
    <col min="6" max="6" width="13.33203125" customWidth="1"/>
    <col min="7" max="7" width="13.5" customWidth="1"/>
  </cols>
  <sheetData>
    <row r="1" spans="1:23" x14ac:dyDescent="0.2">
      <c r="B1" s="3" t="s">
        <v>156</v>
      </c>
      <c r="C1" s="3" t="s">
        <v>185</v>
      </c>
      <c r="D1" s="3" t="s">
        <v>195</v>
      </c>
      <c r="E1" s="3" t="s">
        <v>184</v>
      </c>
      <c r="F1" s="3" t="s">
        <v>186</v>
      </c>
      <c r="G1" s="3" t="s">
        <v>193</v>
      </c>
      <c r="H1" s="3" t="s">
        <v>194</v>
      </c>
      <c r="I1" s="3" t="s">
        <v>183</v>
      </c>
      <c r="J1" s="3" t="s">
        <v>209</v>
      </c>
      <c r="K1" s="3" t="s">
        <v>187</v>
      </c>
      <c r="L1" s="3" t="s">
        <v>188</v>
      </c>
      <c r="M1" s="3" t="s">
        <v>189</v>
      </c>
      <c r="N1" s="3" t="s">
        <v>190</v>
      </c>
      <c r="O1" s="3" t="s">
        <v>166</v>
      </c>
      <c r="P1" s="3" t="s">
        <v>165</v>
      </c>
      <c r="Q1" s="3"/>
      <c r="S1" s="3"/>
      <c r="T1" s="3"/>
      <c r="U1" s="3"/>
      <c r="V1" s="3"/>
      <c r="W1" s="3"/>
    </row>
    <row r="2" spans="1:23" x14ac:dyDescent="0.2">
      <c r="A2">
        <v>1</v>
      </c>
      <c r="B2" t="s">
        <v>155</v>
      </c>
      <c r="C2" t="s">
        <v>167</v>
      </c>
      <c r="D2" s="2" t="s">
        <v>135</v>
      </c>
      <c r="E2" t="s">
        <v>167</v>
      </c>
      <c r="F2" t="s">
        <v>160</v>
      </c>
      <c r="G2" s="2" t="s">
        <v>135</v>
      </c>
      <c r="H2" t="s">
        <v>164</v>
      </c>
      <c r="I2">
        <v>49</v>
      </c>
      <c r="J2">
        <v>15</v>
      </c>
      <c r="K2">
        <v>0</v>
      </c>
      <c r="L2">
        <v>15</v>
      </c>
      <c r="M2">
        <v>0</v>
      </c>
      <c r="N2">
        <v>15</v>
      </c>
      <c r="O2" t="s">
        <v>0</v>
      </c>
      <c r="P2" t="s">
        <v>0</v>
      </c>
    </row>
    <row r="3" spans="1:23" x14ac:dyDescent="0.2">
      <c r="A3">
        <v>2</v>
      </c>
      <c r="B3" t="s">
        <v>149</v>
      </c>
      <c r="C3" t="s">
        <v>161</v>
      </c>
      <c r="D3" t="s">
        <v>132</v>
      </c>
      <c r="E3" t="s">
        <v>168</v>
      </c>
      <c r="F3" t="s">
        <v>163</v>
      </c>
      <c r="G3" s="2" t="s">
        <v>133</v>
      </c>
      <c r="H3" s="2" t="s">
        <v>179</v>
      </c>
      <c r="I3">
        <v>18</v>
      </c>
      <c r="J3">
        <v>6</v>
      </c>
      <c r="K3">
        <v>6</v>
      </c>
      <c r="L3">
        <v>0</v>
      </c>
      <c r="M3">
        <v>6</v>
      </c>
      <c r="N3">
        <v>0</v>
      </c>
      <c r="O3" t="s">
        <v>0</v>
      </c>
      <c r="P3" t="s">
        <v>0</v>
      </c>
    </row>
    <row r="4" spans="1:23" x14ac:dyDescent="0.2">
      <c r="A4">
        <v>3</v>
      </c>
      <c r="B4" t="s">
        <v>154</v>
      </c>
      <c r="C4" t="s">
        <v>168</v>
      </c>
      <c r="D4" s="2" t="s">
        <v>133</v>
      </c>
      <c r="E4" t="s">
        <v>161</v>
      </c>
      <c r="F4" t="s">
        <v>163</v>
      </c>
      <c r="G4" s="2" t="s">
        <v>136</v>
      </c>
      <c r="H4" t="s">
        <v>180</v>
      </c>
      <c r="I4">
        <v>6</v>
      </c>
      <c r="J4">
        <v>4</v>
      </c>
      <c r="K4">
        <v>4</v>
      </c>
      <c r="L4">
        <v>0</v>
      </c>
      <c r="M4">
        <v>4</v>
      </c>
      <c r="N4">
        <v>0</v>
      </c>
      <c r="O4" t="s">
        <v>0</v>
      </c>
      <c r="P4" t="s">
        <v>0</v>
      </c>
    </row>
    <row r="5" spans="1:23" x14ac:dyDescent="0.2">
      <c r="A5">
        <v>4</v>
      </c>
      <c r="B5" t="s">
        <v>154</v>
      </c>
      <c r="C5" t="s">
        <v>168</v>
      </c>
      <c r="D5" s="2" t="s">
        <v>133</v>
      </c>
      <c r="E5" t="s">
        <v>161</v>
      </c>
      <c r="F5" t="s">
        <v>160</v>
      </c>
      <c r="G5" s="2" t="s">
        <v>135</v>
      </c>
      <c r="H5" t="s">
        <v>181</v>
      </c>
      <c r="I5">
        <v>27</v>
      </c>
      <c r="J5">
        <v>2</v>
      </c>
      <c r="K5">
        <v>2</v>
      </c>
      <c r="L5">
        <v>0</v>
      </c>
      <c r="M5">
        <v>2</v>
      </c>
      <c r="N5">
        <v>0</v>
      </c>
      <c r="O5" t="s">
        <v>0</v>
      </c>
      <c r="P5" t="s">
        <v>0</v>
      </c>
    </row>
    <row r="6" spans="1:23" x14ac:dyDescent="0.2">
      <c r="A6">
        <v>5</v>
      </c>
      <c r="B6" t="s">
        <v>154</v>
      </c>
      <c r="C6" t="s">
        <v>168</v>
      </c>
      <c r="D6" s="2" t="s">
        <v>133</v>
      </c>
      <c r="E6" t="s">
        <v>168</v>
      </c>
      <c r="F6" t="s">
        <v>163</v>
      </c>
      <c r="G6" s="2" t="s">
        <v>133</v>
      </c>
      <c r="H6" t="s">
        <v>178</v>
      </c>
      <c r="I6">
        <v>72</v>
      </c>
      <c r="J6">
        <v>7</v>
      </c>
      <c r="K6">
        <v>7</v>
      </c>
      <c r="L6">
        <v>0</v>
      </c>
      <c r="M6">
        <v>7</v>
      </c>
      <c r="N6">
        <v>0</v>
      </c>
      <c r="O6" t="s">
        <v>0</v>
      </c>
      <c r="P6" t="s">
        <v>0</v>
      </c>
    </row>
    <row r="7" spans="1:23" x14ac:dyDescent="0.2">
      <c r="A7">
        <v>6</v>
      </c>
      <c r="B7" t="s">
        <v>154</v>
      </c>
      <c r="C7" t="s">
        <v>168</v>
      </c>
      <c r="D7" s="2" t="s">
        <v>133</v>
      </c>
      <c r="E7" t="s">
        <v>167</v>
      </c>
      <c r="F7" t="s">
        <v>160</v>
      </c>
      <c r="G7" s="2" t="s">
        <v>135</v>
      </c>
      <c r="H7" t="s">
        <v>176</v>
      </c>
      <c r="I7">
        <v>55</v>
      </c>
      <c r="J7">
        <v>10</v>
      </c>
      <c r="K7">
        <v>9</v>
      </c>
      <c r="L7">
        <v>0</v>
      </c>
      <c r="M7">
        <v>9</v>
      </c>
      <c r="N7">
        <v>0</v>
      </c>
      <c r="O7" t="s">
        <v>0</v>
      </c>
      <c r="P7" t="s">
        <v>0</v>
      </c>
    </row>
    <row r="8" spans="1:23" x14ac:dyDescent="0.2">
      <c r="A8">
        <v>7</v>
      </c>
      <c r="B8" t="s">
        <v>152</v>
      </c>
      <c r="C8" t="s">
        <v>167</v>
      </c>
      <c r="D8" s="2" t="s">
        <v>135</v>
      </c>
      <c r="E8" t="s">
        <v>161</v>
      </c>
      <c r="F8" t="s">
        <v>163</v>
      </c>
      <c r="G8" s="2" t="s">
        <v>136</v>
      </c>
      <c r="H8" t="s">
        <v>182</v>
      </c>
      <c r="I8">
        <v>18</v>
      </c>
      <c r="J8">
        <v>9</v>
      </c>
      <c r="K8">
        <v>3</v>
      </c>
      <c r="L8">
        <v>6</v>
      </c>
      <c r="M8" t="s">
        <v>162</v>
      </c>
      <c r="N8" t="s">
        <v>162</v>
      </c>
      <c r="O8" t="s">
        <v>0</v>
      </c>
      <c r="P8" t="s">
        <v>0</v>
      </c>
    </row>
    <row r="9" spans="1:23" x14ac:dyDescent="0.2">
      <c r="A9">
        <v>8</v>
      </c>
      <c r="B9" t="s">
        <v>153</v>
      </c>
      <c r="C9" t="s">
        <v>167</v>
      </c>
      <c r="D9" s="2" t="s">
        <v>135</v>
      </c>
      <c r="E9" t="s">
        <v>161</v>
      </c>
      <c r="F9" t="s">
        <v>160</v>
      </c>
      <c r="G9" s="2" t="s">
        <v>135</v>
      </c>
      <c r="H9" t="s">
        <v>164</v>
      </c>
      <c r="I9">
        <v>14</v>
      </c>
      <c r="J9">
        <v>0</v>
      </c>
      <c r="K9">
        <v>0</v>
      </c>
      <c r="L9">
        <v>0</v>
      </c>
      <c r="M9">
        <v>0</v>
      </c>
      <c r="N9">
        <v>0</v>
      </c>
      <c r="O9" t="s">
        <v>0</v>
      </c>
      <c r="P9" t="s">
        <v>0</v>
      </c>
    </row>
    <row r="10" spans="1:23" x14ac:dyDescent="0.2">
      <c r="A10">
        <v>9</v>
      </c>
      <c r="B10" t="s">
        <v>154</v>
      </c>
      <c r="C10" t="s">
        <v>175</v>
      </c>
      <c r="D10" s="2" t="s">
        <v>135</v>
      </c>
      <c r="E10" t="s">
        <v>167</v>
      </c>
      <c r="F10" t="s">
        <v>160</v>
      </c>
      <c r="G10" s="2" t="s">
        <v>135</v>
      </c>
      <c r="H10" t="s">
        <v>164</v>
      </c>
      <c r="I10">
        <v>15</v>
      </c>
      <c r="J10">
        <v>4</v>
      </c>
      <c r="K10">
        <v>0</v>
      </c>
      <c r="L10">
        <v>4</v>
      </c>
      <c r="M10">
        <v>0</v>
      </c>
      <c r="N10">
        <v>4</v>
      </c>
      <c r="O10" t="s">
        <v>0</v>
      </c>
      <c r="P10" t="s">
        <v>0</v>
      </c>
    </row>
    <row r="11" spans="1:23" x14ac:dyDescent="0.2">
      <c r="A11">
        <v>10</v>
      </c>
      <c r="B11" t="s">
        <v>154</v>
      </c>
      <c r="C11" t="s">
        <v>175</v>
      </c>
      <c r="D11" s="2" t="s">
        <v>135</v>
      </c>
      <c r="E11" t="s">
        <v>168</v>
      </c>
      <c r="F11" t="s">
        <v>163</v>
      </c>
      <c r="G11" t="s">
        <v>133</v>
      </c>
      <c r="H11" t="s">
        <v>177</v>
      </c>
      <c r="I11">
        <v>52</v>
      </c>
      <c r="J11">
        <v>18</v>
      </c>
      <c r="K11">
        <v>16</v>
      </c>
      <c r="L11">
        <v>0</v>
      </c>
      <c r="M11">
        <v>16</v>
      </c>
      <c r="N11">
        <v>0</v>
      </c>
      <c r="O11" t="s">
        <v>0</v>
      </c>
      <c r="P11" t="s">
        <v>0</v>
      </c>
    </row>
    <row r="12" spans="1:23" x14ac:dyDescent="0.2">
      <c r="A12">
        <v>11</v>
      </c>
      <c r="B12" t="s">
        <v>147</v>
      </c>
      <c r="C12" t="s">
        <v>169</v>
      </c>
      <c r="D12" s="2" t="s">
        <v>134</v>
      </c>
      <c r="E12" t="s">
        <v>169</v>
      </c>
      <c r="F12" t="s">
        <v>163</v>
      </c>
      <c r="G12" s="2" t="s">
        <v>134</v>
      </c>
      <c r="H12" t="s">
        <v>170</v>
      </c>
      <c r="I12">
        <v>34</v>
      </c>
      <c r="J12">
        <v>3</v>
      </c>
      <c r="K12">
        <v>1</v>
      </c>
      <c r="L12">
        <v>2</v>
      </c>
      <c r="M12">
        <v>2.25</v>
      </c>
      <c r="N12">
        <v>0.75</v>
      </c>
      <c r="O12">
        <v>0.6</v>
      </c>
      <c r="P12">
        <v>0.56100000000000005</v>
      </c>
    </row>
    <row r="13" spans="1:23" x14ac:dyDescent="0.2">
      <c r="A13">
        <v>12</v>
      </c>
      <c r="B13" t="s">
        <v>172</v>
      </c>
      <c r="C13" t="s">
        <v>169</v>
      </c>
      <c r="D13" s="2" t="s">
        <v>135</v>
      </c>
      <c r="E13" t="s">
        <v>169</v>
      </c>
      <c r="F13" t="s">
        <v>163</v>
      </c>
      <c r="G13" s="2" t="s">
        <v>134</v>
      </c>
      <c r="H13" t="s">
        <v>174</v>
      </c>
      <c r="I13">
        <v>21</v>
      </c>
      <c r="J13">
        <v>3</v>
      </c>
      <c r="K13">
        <v>1</v>
      </c>
      <c r="L13">
        <v>2</v>
      </c>
      <c r="M13">
        <v>1.5</v>
      </c>
      <c r="N13">
        <v>1.5</v>
      </c>
      <c r="O13">
        <v>0.33300000000000002</v>
      </c>
      <c r="P13">
        <v>0.436</v>
      </c>
    </row>
    <row r="14" spans="1:23" x14ac:dyDescent="0.2">
      <c r="A14">
        <v>13</v>
      </c>
      <c r="B14" t="s">
        <v>172</v>
      </c>
      <c r="C14" t="s">
        <v>169</v>
      </c>
      <c r="D14" s="2" t="s">
        <v>134</v>
      </c>
      <c r="E14" t="s">
        <v>167</v>
      </c>
      <c r="F14" t="s">
        <v>160</v>
      </c>
      <c r="G14" s="2" t="s">
        <v>135</v>
      </c>
      <c r="H14" t="s">
        <v>174</v>
      </c>
      <c r="I14">
        <v>39</v>
      </c>
      <c r="J14">
        <v>7</v>
      </c>
      <c r="K14">
        <v>1</v>
      </c>
      <c r="L14">
        <v>5</v>
      </c>
      <c r="M14">
        <v>3.5</v>
      </c>
      <c r="N14">
        <v>3.5</v>
      </c>
      <c r="O14">
        <v>3.5710000000000002</v>
      </c>
      <c r="P14">
        <v>0.94099999999999995</v>
      </c>
    </row>
    <row r="15" spans="1:23" x14ac:dyDescent="0.2">
      <c r="A15">
        <v>14</v>
      </c>
      <c r="B15" t="s">
        <v>172</v>
      </c>
      <c r="C15" t="s">
        <v>169</v>
      </c>
      <c r="D15" s="2" t="s">
        <v>134</v>
      </c>
      <c r="E15" t="s">
        <v>168</v>
      </c>
      <c r="F15" t="s">
        <v>163</v>
      </c>
      <c r="G15" s="2" t="s">
        <v>133</v>
      </c>
      <c r="H15" t="s">
        <v>171</v>
      </c>
      <c r="I15">
        <v>40</v>
      </c>
      <c r="J15">
        <v>6</v>
      </c>
      <c r="K15">
        <v>6</v>
      </c>
      <c r="L15">
        <v>0</v>
      </c>
      <c r="M15">
        <v>6</v>
      </c>
      <c r="N15">
        <v>0</v>
      </c>
      <c r="O15" t="s">
        <v>0</v>
      </c>
      <c r="P15" t="s">
        <v>0</v>
      </c>
    </row>
    <row r="16" spans="1:23" x14ac:dyDescent="0.2">
      <c r="B16" s="3" t="s">
        <v>208</v>
      </c>
      <c r="C16" s="3" t="s">
        <v>162</v>
      </c>
      <c r="D16" s="4" t="s">
        <v>162</v>
      </c>
      <c r="E16" s="4" t="s">
        <v>162</v>
      </c>
      <c r="F16" s="4" t="s">
        <v>162</v>
      </c>
      <c r="G16" s="4" t="s">
        <v>162</v>
      </c>
      <c r="H16" s="4" t="s">
        <v>162</v>
      </c>
      <c r="I16" s="4">
        <f t="shared" ref="I16:N16" si="0">SUM(I2:I15)</f>
        <v>460</v>
      </c>
      <c r="J16" s="3">
        <f t="shared" si="0"/>
        <v>94</v>
      </c>
      <c r="K16" s="3">
        <f t="shared" si="0"/>
        <v>56</v>
      </c>
      <c r="L16" s="3">
        <f t="shared" si="0"/>
        <v>34</v>
      </c>
      <c r="M16" s="3">
        <f t="shared" si="0"/>
        <v>57.25</v>
      </c>
      <c r="N16" s="3">
        <f t="shared" si="0"/>
        <v>24.75</v>
      </c>
      <c r="O16" s="3" t="s">
        <v>162</v>
      </c>
      <c r="P16" s="3" t="s">
        <v>162</v>
      </c>
    </row>
    <row r="17" customFormat="1" x14ac:dyDescent="0.2"/>
    <row r="18" customForma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Table_S1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Renata Pirani</cp:lastModifiedBy>
  <dcterms:created xsi:type="dcterms:W3CDTF">2023-11-05T17:52:07Z</dcterms:created>
  <dcterms:modified xsi:type="dcterms:W3CDTF">2024-06-17T16:49:36Z</dcterms:modified>
</cp:coreProperties>
</file>